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Quote" sheetId="2" state="visible" r:id="rId2"/>
    <sheet name="Materials" sheetId="3" state="visible" r:id="rId3"/>
    <sheet name="Catalog" sheetId="4" state="visible" r:id="rId4"/>
    <sheet name="LaborEquip" sheetId="5" state="visible" r:id="rId5"/>
    <sheet name="SmallTools" sheetId="6" state="visible" r:id="rId6"/>
    <sheet name="Summary" sheetId="7" state="visible" r:id="rId7"/>
    <sheet name="Workers" sheetId="8" state="visible" r:id="rId8"/>
    <sheet name="TM" sheetId="9" state="visible" r:id="rId9"/>
    <sheet name="PnL" sheetId="10" state="visible" r:id="rId10"/>
    <sheet name="ChangeOrders" sheetId="11" state="visible" r:id="rId11"/>
    <sheet name="Reference" sheetId="12" state="visible" r:id="rId12"/>
    <sheet name="Dispatch" sheetId="13" state="visible" r:id="rId13"/>
  </sheets>
  <definedNames>
    <definedName name="_xlnm._FilterDatabase" localSheetId="3" hidden="1">'Catalog'!$A$5:$K$103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A7A8C"/>
      <sz val="18"/>
    </font>
    <font>
      <name val="Calibri"/>
      <b val="1"/>
      <color rgb="001A7A8C"/>
      <sz val="12"/>
    </font>
    <font>
      <name val="Calibri"/>
      <b val="1"/>
      <sz val="10"/>
    </font>
    <font>
      <name val="Calibri"/>
      <b val="1"/>
      <color rgb="001A7A8C"/>
      <sz val="14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1A7A8C"/>
      </patternFill>
    </fill>
    <fill>
      <patternFill patternType="solid">
        <fgColor rgb="00E8F6F8"/>
      </patternFill>
    </fill>
    <fill>
      <patternFill patternType="solid">
        <fgColor rgb="00B8E0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0" fillId="2" borderId="0" pivotButton="0" quotePrefix="0" xfId="0"/>
    <xf numFmtId="9" fontId="0" fillId="3" borderId="0" pivotButton="0" quotePrefix="0" xfId="0"/>
    <xf numFmtId="0" fontId="6" fillId="4" borderId="1" applyAlignment="1" pivotButton="0" quotePrefix="0" xfId="0">
      <alignment vertical="center" wrapText="1"/>
    </xf>
    <xf numFmtId="0" fontId="0" fillId="5" borderId="1" pivotButton="0" quotePrefix="0" xfId="0"/>
    <xf numFmtId="4" fontId="0" fillId="5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7" fillId="0" borderId="0" pivotButton="0" quotePrefix="0" xfId="0"/>
    <xf numFmtId="4" fontId="7" fillId="0" borderId="0" pivotButton="0" quotePrefix="0" xfId="0"/>
    <xf numFmtId="4" fontId="7" fillId="2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8" fillId="0" borderId="0" pivotButton="0" quotePrefix="0" xfId="0"/>
    <xf numFmtId="4" fontId="5" fillId="6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8" customWidth="1" min="4" max="4"/>
  </cols>
  <sheetData>
    <row r="1">
      <c r="A1" s="1" t="inlineStr">
        <is>
          <t>Bruno AC Services LLC</t>
        </is>
      </c>
    </row>
    <row r="2">
      <c r="A2" s="2" t="inlineStr">
        <is>
          <t>Bruno AC Estimating</t>
        </is>
      </c>
    </row>
    <row r="3">
      <c r="A3" t="inlineStr">
        <is>
          <t>HVAC / Air Conditioning Estimating Workbook — Texas 2026</t>
        </is>
      </c>
    </row>
    <row r="5">
      <c r="A5" s="3" t="inlineStr">
        <is>
          <t>Company</t>
        </is>
      </c>
      <c r="B5" t="inlineStr">
        <is>
          <t>Bruno AC Services LLC</t>
        </is>
      </c>
    </row>
    <row r="6">
      <c r="A6" t="inlineStr">
        <is>
          <t>City / State</t>
        </is>
      </c>
      <c r="B6" t="inlineStr">
        <is>
          <t>Austin, TX</t>
        </is>
      </c>
    </row>
    <row r="7">
      <c r="A7" t="inlineStr">
        <is>
          <t>Demo job</t>
        </is>
      </c>
      <c r="B7" t="inlineStr">
        <is>
          <t>Sample Residence — AC Changeout</t>
        </is>
      </c>
    </row>
    <row r="8">
      <c r="A8" t="inlineStr">
        <is>
          <t>Proposal #</t>
        </is>
      </c>
      <c r="B8" t="inlineStr">
        <is>
          <t>AC-0926-001</t>
        </is>
      </c>
    </row>
    <row r="9">
      <c r="A9" t="inlineStr">
        <is>
          <t>Date</t>
        </is>
      </c>
      <c r="B9" t="inlineStr">
        <is>
          <t>2026-09-11</t>
        </is>
      </c>
    </row>
    <row r="11">
      <c r="A11" s="2" t="inlineStr">
        <is>
          <t>Method A (Summary)</t>
        </is>
      </c>
    </row>
    <row r="12">
      <c r="A12" t="inlineStr">
        <is>
          <t>sales = cost × (1 + OH) / (1 − profit)</t>
        </is>
      </c>
    </row>
    <row r="13">
      <c r="A13" t="inlineStr">
        <is>
          <t>OH default</t>
        </is>
      </c>
      <c r="B13" s="4" t="n">
        <v>0.25</v>
      </c>
    </row>
    <row r="14">
      <c r="A14" t="inlineStr">
        <is>
          <t>Profit of sales default</t>
        </is>
      </c>
      <c r="B14" s="4" t="n">
        <v>0.15</v>
      </c>
    </row>
    <row r="15">
      <c r="A15" t="inlineStr">
        <is>
          <t>Material markup</t>
        </is>
      </c>
      <c r="B15" s="4" t="n">
        <v>0</v>
      </c>
    </row>
    <row r="16">
      <c r="A16" t="inlineStr">
        <is>
          <t>Quote Total</t>
        </is>
      </c>
      <c r="B16" t="inlineStr">
        <is>
          <t>ROUND(final sales) + approved Change Orders only</t>
        </is>
      </c>
    </row>
    <row r="18">
      <c r="A18" s="2" t="inlineStr">
        <is>
          <t>Sheets</t>
        </is>
      </c>
    </row>
    <row r="19">
      <c r="A19" t="inlineStr">
        <is>
          <t>Cover — branding &amp; orientation</t>
        </is>
      </c>
    </row>
    <row r="20">
      <c r="A20" t="inlineStr">
        <is>
          <t>Quote — customer-facing proposal face</t>
        </is>
      </c>
    </row>
    <row r="21">
      <c r="A21" t="inlineStr">
        <is>
          <t>Materials — job takeoff (qty × unitCost, markup 0)</t>
        </is>
      </c>
    </row>
    <row r="22">
      <c r="A22" t="inlineStr">
        <is>
          <t>Catalog — Texas HVAC price book (example USD)</t>
        </is>
      </c>
    </row>
    <row r="23">
      <c r="A23" t="inlineStr">
        <is>
          <t>LaborEquip — equipment, labor blocks, subs</t>
        </is>
      </c>
    </row>
    <row r="24">
      <c r="A24" t="inlineStr">
        <is>
          <t>SmallTools — tool lines rolling into Equip</t>
        </is>
      </c>
    </row>
    <row r="25">
      <c r="A25" t="inlineStr">
        <is>
          <t>Summary — Method A OH&amp;P and Quote Total</t>
        </is>
      </c>
    </row>
    <row r="26">
      <c r="A26" t="inlineStr">
        <is>
          <t>Workers — burden (quote path) + pay calculator (info only)</t>
        </is>
      </c>
    </row>
    <row r="27">
      <c r="A27" t="inlineStr">
        <is>
          <t>TM — Time &amp; Material invoice (NO Method A OH&amp;P)</t>
        </is>
      </c>
    </row>
    <row r="28">
      <c r="A28" t="inlineStr">
        <is>
          <t>PnL — Quoted vs Billed vs Actual</t>
        </is>
      </c>
    </row>
    <row r="29">
      <c r="A29" t="inlineStr">
        <is>
          <t>ChangeOrders — only Approved adds to Quote Total</t>
        </is>
      </c>
    </row>
    <row r="30">
      <c r="A30" t="inlineStr">
        <is>
          <t>Reference — TX codes / SEER2 / refrigerant (informational)</t>
        </is>
      </c>
    </row>
    <row r="31">
      <c r="A31" t="inlineStr">
        <is>
          <t>Dispatch — service-call day journal (light)</t>
        </is>
      </c>
    </row>
    <row r="34">
      <c r="A34" s="3" t="inlineStr">
        <is>
          <t>Disclaimer</t>
        </is>
      </c>
    </row>
    <row r="35">
      <c r="A35" s="5" t="inlineStr">
        <is>
          <t>Estimating aid only. Not Manual J/S/D, not refrigerant charge calc, not tax/legal advice. Verify AHRI matches, EPA Technology Transitions, TDLR codes, and local AHJ.</t>
        </is>
      </c>
    </row>
    <row r="36"/>
    <row r="37"/>
    <row r="39">
      <c r="A39" t="inlineStr">
        <is>
          <t>© 2026 Bruno AC Services LLC</t>
        </is>
      </c>
    </row>
  </sheetData>
  <mergeCells count="1">
    <mergeCell ref="A35:D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Bruno AC Services LLC</t>
        </is>
      </c>
    </row>
    <row r="2">
      <c r="A2" s="2" t="inlineStr">
        <is>
          <t>PROPOSAL / QUOTE</t>
        </is>
      </c>
    </row>
    <row r="4">
      <c r="A4" s="3" t="inlineStr">
        <is>
          <t>Date</t>
        </is>
      </c>
      <c r="B4" t="inlineStr">
        <is>
          <t>2026-09-11</t>
        </is>
      </c>
    </row>
    <row r="5">
      <c r="A5" s="3" t="inlineStr">
        <is>
          <t>Proposal #</t>
        </is>
      </c>
      <c r="B5" t="inlineStr">
        <is>
          <t>AC-0926-001</t>
        </is>
      </c>
    </row>
    <row r="6">
      <c r="A6" s="3" t="inlineStr">
        <is>
          <t>Job #</t>
        </is>
      </c>
      <c r="B6" t="inlineStr">
        <is>
          <t>AC-0926-001</t>
        </is>
      </c>
    </row>
    <row r="7">
      <c r="A7" s="3" t="inlineStr">
        <is>
          <t>P.O. #</t>
        </is>
      </c>
    </row>
    <row r="8">
      <c r="A8" s="3" t="inlineStr">
        <is>
          <t>Work Order #</t>
        </is>
      </c>
    </row>
    <row r="9">
      <c r="A9" s="3" t="inlineStr">
        <is>
          <t>Quoted by</t>
        </is>
      </c>
      <c r="B9" t="inlineStr">
        <is>
          <t>Estimator</t>
        </is>
      </c>
    </row>
    <row r="10">
      <c r="A10" s="3" t="inlineStr">
        <is>
          <t>Contact</t>
        </is>
      </c>
      <c r="B10" t="inlineStr">
        <is>
          <t>Homeowner</t>
        </is>
      </c>
    </row>
    <row r="11">
      <c r="A11" s="3" t="inlineStr">
        <is>
          <t>Customer</t>
        </is>
      </c>
      <c r="B11" t="inlineStr">
        <is>
          <t>Sample Residence — AC Changeout</t>
        </is>
      </c>
    </row>
    <row r="12">
      <c r="A12" s="3" t="inlineStr">
        <is>
          <t>Job address</t>
        </is>
      </c>
      <c r="B12" t="inlineStr">
        <is>
          <t>123 Maple Creek Ln</t>
        </is>
      </c>
    </row>
    <row r="13">
      <c r="A13" s="3" t="inlineStr">
        <is>
          <t>City / State / ZIP</t>
        </is>
      </c>
      <c r="B13" t="inlineStr">
        <is>
          <t>Austin, TX 78745</t>
        </is>
      </c>
    </row>
    <row r="14">
      <c r="A14" s="3" t="inlineStr">
        <is>
          <t>Reference</t>
        </is>
      </c>
      <c r="B14" t="inlineStr">
        <is>
          <t>Residential heat pump changeout</t>
        </is>
      </c>
    </row>
    <row r="16">
      <c r="A16" s="2" t="inlineStr">
        <is>
          <t>HVAC job tags (informational — do not drive Method A)</t>
        </is>
      </c>
    </row>
    <row r="17">
      <c r="A17" s="3" t="inlineStr">
        <is>
          <t>System type</t>
        </is>
      </c>
      <c r="B17" t="inlineStr">
        <is>
          <t>split-heat-pump</t>
        </is>
      </c>
    </row>
    <row r="18">
      <c r="A18" s="3" t="inlineStr">
        <is>
          <t>Tonnage / BTU</t>
        </is>
      </c>
      <c r="B18" t="inlineStr">
        <is>
          <t>3 ton / ~36,000 BTU</t>
        </is>
      </c>
    </row>
    <row r="19">
      <c r="A19" s="3" t="inlineStr">
        <is>
          <t>SEER2 target</t>
        </is>
      </c>
      <c r="B19" t="inlineStr">
        <is>
          <t>15.2 (OEM published — verify AHRI)</t>
        </is>
      </c>
    </row>
    <row r="20">
      <c r="A20" s="3" t="inlineStr">
        <is>
          <t>HSPF2</t>
        </is>
      </c>
      <c r="B20" t="inlineStr">
        <is>
          <t>7.8</t>
        </is>
      </c>
    </row>
    <row r="21">
      <c r="A21" s="3" t="inlineStr">
        <is>
          <t>Refrigerant</t>
        </is>
      </c>
      <c r="B21" t="inlineStr">
        <is>
          <t>R-454B (A2L)</t>
        </is>
      </c>
    </row>
    <row r="22">
      <c r="A22" s="3" t="inlineStr">
        <is>
          <t>Job kind</t>
        </is>
      </c>
      <c r="B22" t="inlineStr">
        <is>
          <t>replace</t>
        </is>
      </c>
    </row>
    <row r="23">
      <c r="A23" s="3" t="inlineStr">
        <is>
          <t>Duct config</t>
        </is>
      </c>
      <c r="B23" t="inlineStr">
        <is>
          <t>ducted</t>
        </is>
      </c>
    </row>
    <row r="24">
      <c r="A24" s="3" t="inlineStr">
        <is>
          <t>Haul-away</t>
        </is>
      </c>
      <c r="B24" t="inlineStr">
        <is>
          <t>yes</t>
        </is>
      </c>
    </row>
    <row r="26">
      <c r="A26" s="2" t="inlineStr">
        <is>
          <t>Scope / description</t>
        </is>
      </c>
    </row>
    <row r="27">
      <c r="A27" t="inlineStr">
        <is>
          <t>One year workmanship warranty on installation (manufacturer warranty per OEM).</t>
        </is>
      </c>
    </row>
    <row r="28">
      <c r="A28" t="inlineStr">
        <is>
          <t>Work during normal business hours unless otherwise agreed.</t>
        </is>
      </c>
    </row>
    <row r="29"/>
    <row r="30">
      <c r="A30" t="inlineStr">
        <is>
          <t>Replace existing split system with matched SEER2 heat pump + air handler (R-454B / A2L path).</t>
        </is>
      </c>
    </row>
    <row r="31">
      <c r="A31" t="inlineStr">
        <is>
          <t>Includes line set as scoped, pad, disconnect and whip, thermostat, condensate protection, A2L leak-detection sensor.</t>
        </is>
      </c>
    </row>
    <row r="32">
      <c r="A32" t="inlineStr">
        <is>
          <t>Recover and haul away existing equipment (service/legacy refrigerant handling by certified tech).</t>
        </is>
      </c>
    </row>
    <row r="33">
      <c r="A33" t="inlineStr">
        <is>
          <t>Permit allowance included — final fee by AHJ.</t>
        </is>
      </c>
    </row>
    <row r="34">
      <c r="A34" t="inlineStr">
        <is>
          <t>Startup / commissioning and thermostat setup included in labor.</t>
        </is>
      </c>
    </row>
    <row r="35"/>
    <row r="36">
      <c r="A36" t="inlineStr">
        <is>
          <t>Informational job tags: 3 ton · SEER2 target per OEM AHRI · ducted · replace.</t>
        </is>
      </c>
    </row>
    <row r="37">
      <c r="A37" t="inlineStr">
        <is>
          <t>Not a Manual J / Manual S / Manual D design. Load calc and AHRI match by others if required.</t>
        </is>
      </c>
    </row>
    <row r="39">
      <c r="A39" s="2" t="inlineStr">
        <is>
          <t>Terms</t>
        </is>
      </c>
    </row>
    <row r="40">
      <c r="A40" t="inlineStr">
        <is>
          <t>Thank you for your business!</t>
        </is>
      </c>
    </row>
    <row r="41">
      <c r="A41" t="inlineStr">
        <is>
          <t>Past due invoices may be subject to a service charge per shop policy.</t>
        </is>
      </c>
    </row>
    <row r="42">
      <c r="A42" t="inlineStr">
        <is>
          <t>This does not include applicable taxes unless listed.</t>
        </is>
      </c>
    </row>
    <row r="45">
      <c r="A45" s="2" t="inlineStr">
        <is>
          <t>QUOTE TOTALS (from Summary)</t>
        </is>
      </c>
    </row>
    <row r="46">
      <c r="A46" s="3" t="inlineStr">
        <is>
          <t>Material Cost</t>
        </is>
      </c>
      <c r="B46" s="6">
        <f>Summary!D24</f>
        <v/>
      </c>
    </row>
    <row r="47">
      <c r="A47" s="3" t="inlineStr">
        <is>
          <t>Labor Cost</t>
        </is>
      </c>
      <c r="B47" s="6">
        <f>Summary!D22</f>
        <v/>
      </c>
    </row>
    <row r="48">
      <c r="A48" s="3" t="inlineStr">
        <is>
          <t>Equip Cost</t>
        </is>
      </c>
      <c r="B48" s="6">
        <f>Summary!D20</f>
        <v/>
      </c>
    </row>
    <row r="49">
      <c r="A49" s="3" t="inlineStr">
        <is>
          <t>Job Cost</t>
        </is>
      </c>
      <c r="B49" s="6">
        <f>Summary!D28</f>
        <v/>
      </c>
    </row>
    <row r="50">
      <c r="A50" s="3" t="inlineStr">
        <is>
          <t>Sales (exact)</t>
        </is>
      </c>
      <c r="B50" s="6">
        <f>Summary!D39</f>
        <v/>
      </c>
    </row>
    <row r="51">
      <c r="A51" s="3" t="inlineStr">
        <is>
          <t>Base Quote (ROUND)</t>
        </is>
      </c>
      <c r="B51" s="6">
        <f>Summary!D42</f>
        <v/>
      </c>
    </row>
    <row r="52">
      <c r="A52" s="3" t="inlineStr">
        <is>
          <t>Approved Change Orders</t>
        </is>
      </c>
      <c r="B52" s="6">
        <f>Summary!D40</f>
        <v/>
      </c>
    </row>
    <row r="53">
      <c r="A53" s="7" t="inlineStr">
        <is>
          <t>QUOTE TOTAL</t>
        </is>
      </c>
      <c r="B53" s="8">
        <f>Summary!D41</f>
        <v/>
      </c>
    </row>
    <row r="55">
      <c r="A55" t="inlineStr">
        <is>
          <t>Validity: 15 days from quote date unless otherwise agreed.</t>
        </is>
      </c>
    </row>
    <row r="56">
      <c r="A56" t="inlineStr">
        <is>
          <t>Customer signature: ________________________________  Date: __________</t>
        </is>
      </c>
    </row>
    <row r="57">
      <c r="A57" t="inlineStr">
        <is>
          <t>© 2026 Bruno AC Services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2" customWidth="1" min="3" max="3"/>
    <col width="14" customWidth="1" min="4" max="4"/>
    <col width="10" customWidth="1" min="5" max="5"/>
    <col width="10" customWidth="1" min="6" max="6"/>
    <col width="12" customWidth="1" min="7" max="7"/>
    <col width="14" customWidth="1" min="8" max="8"/>
    <col width="18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JOB MATERIALS (takeoff)</t>
        </is>
      </c>
    </row>
    <row r="2">
      <c r="A2" s="3" t="inlineStr">
        <is>
          <t>Material Cost TOTAL</t>
        </is>
      </c>
      <c r="B2" s="9">
        <f>SUM(H12:H200)</f>
        <v/>
      </c>
      <c r="C2" t="inlineStr">
        <is>
          <t>← feeds Summary!D24</t>
        </is>
      </c>
    </row>
    <row r="3">
      <c r="A3" t="inlineStr">
        <is>
          <t>Material markup %</t>
        </is>
      </c>
      <c r="B3" s="10" t="n">
        <v>0</v>
      </c>
      <c r="C3" t="inlineStr">
        <is>
          <t>LOCKED 0 — single margin layer is Summary Method A only</t>
        </is>
      </c>
    </row>
    <row r="4">
      <c r="A4" t="inlineStr">
        <is>
          <t>Quoted materials (legacy display = cost when markup 0)</t>
        </is>
      </c>
      <c r="B4" s="6">
        <f>ROUND(B2*(1+B3),0)</f>
        <v/>
      </c>
    </row>
    <row r="5">
      <c r="A5" t="inlineStr">
        <is>
          <t>Last price update</t>
        </is>
      </c>
      <c r="B5" t="inlineStr">
        <is>
          <t>2026-09-11</t>
        </is>
      </c>
    </row>
    <row r="6">
      <c r="A6" t="inlineStr">
        <is>
          <t>Note: Extension = Qty × Unit Cost. No auto line-set length, charge, or Manual J.</t>
        </is>
      </c>
    </row>
    <row r="11">
      <c r="A11" s="11" t="inlineStr">
        <is>
          <t>Qty</t>
        </is>
      </c>
      <c r="B11" s="11" t="inlineStr">
        <is>
          <t>ID</t>
        </is>
      </c>
      <c r="C11" s="11" t="inlineStr">
        <is>
          <t>Item</t>
        </is>
      </c>
      <c r="D11" s="11" t="inlineStr">
        <is>
          <t>Part #</t>
        </is>
      </c>
      <c r="E11" s="11" t="inlineStr">
        <is>
          <t>Vendor</t>
        </is>
      </c>
      <c r="F11" s="11" t="inlineStr">
        <is>
          <t>Units</t>
        </is>
      </c>
      <c r="G11" s="11" t="inlineStr">
        <is>
          <t>Unit Cost</t>
        </is>
      </c>
      <c r="H11" s="11" t="inlineStr">
        <is>
          <t>Extension</t>
        </is>
      </c>
      <c r="I11" s="11" t="inlineStr">
        <is>
          <t>Category</t>
        </is>
      </c>
      <c r="J11" s="11" t="inlineStr">
        <is>
          <t>SEER2</t>
        </is>
      </c>
      <c r="K11" s="11" t="inlineStr">
        <is>
          <t>Refrigerant</t>
        </is>
      </c>
      <c r="L11" s="11" t="inlineStr">
        <is>
          <t>Notes</t>
        </is>
      </c>
    </row>
    <row r="12">
      <c r="A12" s="12" t="n">
        <v>1</v>
      </c>
      <c r="B12" s="12" t="inlineStr">
        <is>
          <t>ac-ou-02</t>
        </is>
      </c>
      <c r="C12" s="12" t="inlineStr">
        <is>
          <t>Split-system heat pump outdoor unit, SEER2/HSPF2-rated (3 ton)</t>
        </is>
      </c>
      <c r="D12" s="12" t="inlineStr">
        <is>
          <t>OU-HP-3T</t>
        </is>
      </c>
      <c r="E12" s="12" t="inlineStr">
        <is>
          <t>-</t>
        </is>
      </c>
      <c r="F12" s="12" t="inlineStr">
        <is>
          <t>ea</t>
        </is>
      </c>
      <c r="G12" s="13" t="n">
        <v>2800</v>
      </c>
      <c r="H12" s="13">
        <f>A12*G12</f>
        <v/>
      </c>
      <c r="I12" s="12" t="inlineStr">
        <is>
          <t>Outdoor units</t>
        </is>
      </c>
      <c r="J12" s="12" t="inlineStr">
        <is>
          <t>15.2</t>
        </is>
      </c>
      <c r="K12" s="12" t="inlineStr">
        <is>
          <t>R-454B</t>
        </is>
      </c>
      <c r="L12" s="12" t="inlineStr"/>
    </row>
    <row r="13">
      <c r="A13" s="14" t="n">
        <v>1</v>
      </c>
      <c r="B13" s="14" t="inlineStr">
        <is>
          <t>ac-in-01</t>
        </is>
      </c>
      <c r="C13" s="14" t="inlineStr">
        <is>
          <t>Multiposition air handler matched to outdoor</t>
        </is>
      </c>
      <c r="D13" s="14" t="inlineStr">
        <is>
          <t>AHU-3T</t>
        </is>
      </c>
      <c r="E13" s="14" t="inlineStr">
        <is>
          <t>-</t>
        </is>
      </c>
      <c r="F13" s="14" t="inlineStr">
        <is>
          <t>ea</t>
        </is>
      </c>
      <c r="G13" s="15" t="n">
        <v>1600</v>
      </c>
      <c r="H13" s="15">
        <f>A13*G13</f>
        <v/>
      </c>
      <c r="I13" s="14" t="inlineStr">
        <is>
          <t>Indoor units / air handlers / coils</t>
        </is>
      </c>
      <c r="J13" s="14" t="inlineStr"/>
      <c r="K13" s="14" t="inlineStr">
        <is>
          <t>R-454B</t>
        </is>
      </c>
      <c r="L13" s="14" t="inlineStr"/>
    </row>
    <row r="14">
      <c r="A14" s="12" t="n">
        <v>1</v>
      </c>
      <c r="B14" s="12" t="inlineStr">
        <is>
          <t>ac-ls-02</t>
        </is>
      </c>
      <c r="C14" s="12" t="inlineStr">
        <is>
          <t>Insulated line set, 3/8 × 3/4, 25 ft</t>
        </is>
      </c>
      <c r="D14" s="12" t="inlineStr">
        <is>
          <t>LS-3874-25</t>
        </is>
      </c>
      <c r="E14" s="12" t="inlineStr">
        <is>
          <t>-</t>
        </is>
      </c>
      <c r="F14" s="12" t="inlineStr">
        <is>
          <t>ea</t>
        </is>
      </c>
      <c r="G14" s="13" t="n">
        <v>185</v>
      </c>
      <c r="H14" s="13">
        <f>A14*G14</f>
        <v/>
      </c>
      <c r="I14" s="12" t="inlineStr">
        <is>
          <t>Line sets &amp; fittings</t>
        </is>
      </c>
      <c r="J14" s="12" t="inlineStr"/>
      <c r="K14" s="12" t="inlineStr"/>
      <c r="L14" s="12" t="inlineStr"/>
    </row>
    <row r="15">
      <c r="A15" s="14" t="n">
        <v>1</v>
      </c>
      <c r="B15" s="14" t="inlineStr">
        <is>
          <t>ac-ls-07</t>
        </is>
      </c>
      <c r="C15" s="14" t="inlineStr">
        <is>
          <t>Filter-drier (liquid line)</t>
        </is>
      </c>
      <c r="D15" s="14" t="inlineStr">
        <is>
          <t>FD-LL</t>
        </is>
      </c>
      <c r="E15" s="14" t="inlineStr">
        <is>
          <t>-</t>
        </is>
      </c>
      <c r="F15" s="14" t="inlineStr">
        <is>
          <t>ea</t>
        </is>
      </c>
      <c r="G15" s="15" t="n">
        <v>48</v>
      </c>
      <c r="H15" s="15">
        <f>A15*G15</f>
        <v/>
      </c>
      <c r="I15" s="14" t="inlineStr">
        <is>
          <t>Line sets &amp; fittings</t>
        </is>
      </c>
      <c r="J15" s="14" t="inlineStr"/>
      <c r="K15" s="14" t="inlineStr">
        <is>
          <t>R-454B</t>
        </is>
      </c>
      <c r="L15" s="14" t="inlineStr"/>
    </row>
    <row r="16">
      <c r="A16" s="12" t="n">
        <v>1</v>
      </c>
      <c r="B16" s="12" t="inlineStr">
        <is>
          <t>ac-pd-02</t>
        </is>
      </c>
      <c r="C16" s="12" t="inlineStr">
        <is>
          <t>Plastic / composite condenser pad</t>
        </is>
      </c>
      <c r="D16" s="12" t="inlineStr">
        <is>
          <t>PAD-COMP</t>
        </is>
      </c>
      <c r="E16" s="12" t="inlineStr">
        <is>
          <t>-</t>
        </is>
      </c>
      <c r="F16" s="12" t="inlineStr">
        <is>
          <t>ea</t>
        </is>
      </c>
      <c r="G16" s="13" t="n">
        <v>89</v>
      </c>
      <c r="H16" s="13">
        <f>A16*G16</f>
        <v/>
      </c>
      <c r="I16" s="12" t="inlineStr">
        <is>
          <t>Pads, stands &amp; mounts</t>
        </is>
      </c>
      <c r="J16" s="12" t="inlineStr"/>
      <c r="K16" s="12" t="inlineStr"/>
      <c r="L16" s="12" t="inlineStr"/>
    </row>
    <row r="17">
      <c r="A17" s="14" t="n">
        <v>1</v>
      </c>
      <c r="B17" s="14" t="inlineStr">
        <is>
          <t>ac-ct-03</t>
        </is>
      </c>
      <c r="C17" s="14" t="inlineStr">
        <is>
          <t>Wi-Fi / connected thermostat</t>
        </is>
      </c>
      <c r="D17" s="14" t="inlineStr">
        <is>
          <t>TSTAT-WIFI</t>
        </is>
      </c>
      <c r="E17" s="14" t="inlineStr">
        <is>
          <t>-</t>
        </is>
      </c>
      <c r="F17" s="14" t="inlineStr">
        <is>
          <t>ea</t>
        </is>
      </c>
      <c r="G17" s="15" t="n">
        <v>220</v>
      </c>
      <c r="H17" s="15">
        <f>A17*G17</f>
        <v/>
      </c>
      <c r="I17" s="14" t="inlineStr">
        <is>
          <t>Controls &amp; thermostats</t>
        </is>
      </c>
      <c r="J17" s="14" t="inlineStr"/>
      <c r="K17" s="14" t="inlineStr"/>
      <c r="L17" s="14" t="inlineStr"/>
    </row>
    <row r="18">
      <c r="A18" s="12" t="n">
        <v>1</v>
      </c>
      <c r="B18" s="12" t="inlineStr">
        <is>
          <t>ac-cd-03</t>
        </is>
      </c>
      <c r="C18" s="12" t="inlineStr">
        <is>
          <t>Condensate pump</t>
        </is>
      </c>
      <c r="D18" s="12" t="inlineStr">
        <is>
          <t>C-PUMP</t>
        </is>
      </c>
      <c r="E18" s="12" t="inlineStr">
        <is>
          <t>-</t>
        </is>
      </c>
      <c r="F18" s="12" t="inlineStr">
        <is>
          <t>ea</t>
        </is>
      </c>
      <c r="G18" s="13" t="n">
        <v>95</v>
      </c>
      <c r="H18" s="13">
        <f>A18*G18</f>
        <v/>
      </c>
      <c r="I18" s="12" t="inlineStr">
        <is>
          <t>Condensate &amp; drainage</t>
        </is>
      </c>
      <c r="J18" s="12" t="inlineStr"/>
      <c r="K18" s="12" t="inlineStr"/>
      <c r="L18" s="12" t="inlineStr"/>
    </row>
    <row r="19">
      <c r="A19" s="14" t="n">
        <v>1</v>
      </c>
      <c r="B19" s="14" t="inlineStr">
        <is>
          <t>ac-cd-04</t>
        </is>
      </c>
      <c r="C19" s="14" t="inlineStr">
        <is>
          <t>Float switch (primary / aux)</t>
        </is>
      </c>
      <c r="D19" s="14" t="inlineStr">
        <is>
          <t>FLOAT</t>
        </is>
      </c>
      <c r="E19" s="14" t="inlineStr">
        <is>
          <t>-</t>
        </is>
      </c>
      <c r="F19" s="14" t="inlineStr">
        <is>
          <t>ea</t>
        </is>
      </c>
      <c r="G19" s="15" t="n">
        <v>42</v>
      </c>
      <c r="H19" s="15">
        <f>A19*G19</f>
        <v/>
      </c>
      <c r="I19" s="14" t="inlineStr">
        <is>
          <t>Condensate &amp; drainage</t>
        </is>
      </c>
      <c r="J19" s="14" t="inlineStr"/>
      <c r="K19" s="14" t="inlineStr"/>
      <c r="L19" s="14" t="inlineStr"/>
    </row>
    <row r="20">
      <c r="A20" s="12" t="n">
        <v>1</v>
      </c>
      <c r="B20" s="12" t="inlineStr">
        <is>
          <t>ac-cd-05</t>
        </is>
      </c>
      <c r="C20" s="12" t="inlineStr">
        <is>
          <t>Secondary / emergency drain pan</t>
        </is>
      </c>
      <c r="D20" s="12" t="inlineStr">
        <is>
          <t>SEC-PAN</t>
        </is>
      </c>
      <c r="E20" s="12" t="inlineStr">
        <is>
          <t>-</t>
        </is>
      </c>
      <c r="F20" s="12" t="inlineStr">
        <is>
          <t>ea</t>
        </is>
      </c>
      <c r="G20" s="13" t="n">
        <v>65</v>
      </c>
      <c r="H20" s="13">
        <f>A20*G20</f>
        <v/>
      </c>
      <c r="I20" s="12" t="inlineStr">
        <is>
          <t>Condensate &amp; drainage</t>
        </is>
      </c>
      <c r="J20" s="12" t="inlineStr"/>
      <c r="K20" s="12" t="inlineStr"/>
      <c r="L20" s="12" t="inlineStr"/>
    </row>
    <row r="21">
      <c r="A21" s="14" t="n">
        <v>1</v>
      </c>
      <c r="B21" s="14" t="inlineStr">
        <is>
          <t>ac-el-01</t>
        </is>
      </c>
      <c r="C21" s="14" t="inlineStr">
        <is>
          <t>Non-fused AC disconnect</t>
        </is>
      </c>
      <c r="D21" s="14" t="inlineStr">
        <is>
          <t>DISC</t>
        </is>
      </c>
      <c r="E21" s="14" t="inlineStr">
        <is>
          <t>-</t>
        </is>
      </c>
      <c r="F21" s="14" t="inlineStr">
        <is>
          <t>ea</t>
        </is>
      </c>
      <c r="G21" s="15" t="n">
        <v>55</v>
      </c>
      <c r="H21" s="15">
        <f>A21*G21</f>
        <v/>
      </c>
      <c r="I21" s="14" t="inlineStr">
        <is>
          <t>Electrical accessories (HVAC)</t>
        </is>
      </c>
      <c r="J21" s="14" t="inlineStr"/>
      <c r="K21" s="14" t="inlineStr"/>
      <c r="L21" s="14" t="inlineStr"/>
    </row>
    <row r="22">
      <c r="A22" s="12" t="n">
        <v>1</v>
      </c>
      <c r="B22" s="12" t="inlineStr">
        <is>
          <t>ac-el-02</t>
        </is>
      </c>
      <c r="C22" s="12" t="inlineStr">
        <is>
          <t>Liquid-tight whip</t>
        </is>
      </c>
      <c r="D22" s="12" t="inlineStr">
        <is>
          <t>WHIP</t>
        </is>
      </c>
      <c r="E22" s="12" t="inlineStr">
        <is>
          <t>-</t>
        </is>
      </c>
      <c r="F22" s="12" t="inlineStr">
        <is>
          <t>ea</t>
        </is>
      </c>
      <c r="G22" s="13" t="n">
        <v>48</v>
      </c>
      <c r="H22" s="13">
        <f>A22*G22</f>
        <v/>
      </c>
      <c r="I22" s="12" t="inlineStr">
        <is>
          <t>Electrical accessories (HVAC)</t>
        </is>
      </c>
      <c r="J22" s="12" t="inlineStr"/>
      <c r="K22" s="12" t="inlineStr"/>
      <c r="L22" s="12" t="inlineStr"/>
    </row>
    <row r="23">
      <c r="A23" s="14" t="n">
        <v>1</v>
      </c>
      <c r="B23" s="14" t="inlineStr">
        <is>
          <t>ac-rf-01</t>
        </is>
      </c>
      <c r="C23" s="14" t="inlineStr">
        <is>
          <t>Virgin refrigerant R-454B (top-off / inventory)</t>
        </is>
      </c>
      <c r="D23" s="14" t="inlineStr">
        <is>
          <t>R454B</t>
        </is>
      </c>
      <c r="E23" s="14" t="inlineStr">
        <is>
          <t>-</t>
        </is>
      </c>
      <c r="F23" s="14" t="inlineStr">
        <is>
          <t>lb</t>
        </is>
      </c>
      <c r="G23" s="15" t="n">
        <v>120</v>
      </c>
      <c r="H23" s="15">
        <f>A23*G23</f>
        <v/>
      </c>
      <c r="I23" s="14" t="inlineStr">
        <is>
          <t>Refrigerant &amp; recovery</t>
        </is>
      </c>
      <c r="J23" s="14" t="inlineStr"/>
      <c r="K23" s="14" t="inlineStr">
        <is>
          <t>R-454B</t>
        </is>
      </c>
      <c r="L23" s="14" t="inlineStr">
        <is>
          <t>Qty in lbs — OEM charge + line adder by hand; no auto charge calc</t>
        </is>
      </c>
    </row>
    <row r="24">
      <c r="A24" s="12" t="n">
        <v>1</v>
      </c>
      <c r="B24" s="12" t="inlineStr">
        <is>
          <t>ac-a2l-01</t>
        </is>
      </c>
      <c r="C24" s="12" t="inlineStr">
        <is>
          <t>A2L refrigerant leak-detection sensor</t>
        </is>
      </c>
      <c r="D24" s="12" t="inlineStr">
        <is>
          <t>A2L-SENSOR</t>
        </is>
      </c>
      <c r="E24" s="12" t="inlineStr">
        <is>
          <t>-</t>
        </is>
      </c>
      <c r="F24" s="12" t="inlineStr">
        <is>
          <t>ea</t>
        </is>
      </c>
      <c r="G24" s="13" t="n">
        <v>175</v>
      </c>
      <c r="H24" s="13">
        <f>A24*G24</f>
        <v/>
      </c>
      <c r="I24" s="12" t="inlineStr">
        <is>
          <t>A2L install extras</t>
        </is>
      </c>
      <c r="J24" s="12" t="inlineStr"/>
      <c r="K24" s="12" t="inlineStr"/>
      <c r="L24" s="12" t="inlineStr"/>
    </row>
    <row r="25">
      <c r="A25" s="14" t="n">
        <v>1</v>
      </c>
      <c r="B25" s="14" t="inlineStr">
        <is>
          <t>ac-cm-06</t>
        </is>
      </c>
      <c r="C25" s="14" t="inlineStr">
        <is>
          <t>Equipment disposal / haul-away (old R-410A system)</t>
        </is>
      </c>
      <c r="D25" s="14" t="inlineStr">
        <is>
          <t>HAUL</t>
        </is>
      </c>
      <c r="E25" s="14" t="inlineStr">
        <is>
          <t>-</t>
        </is>
      </c>
      <c r="F25" s="14" t="inlineStr">
        <is>
          <t>ea</t>
        </is>
      </c>
      <c r="G25" s="15" t="n">
        <v>275</v>
      </c>
      <c r="H25" s="15">
        <f>A25*G25</f>
        <v/>
      </c>
      <c r="I25" s="14" t="inlineStr">
        <is>
          <t>Consumables / misc &amp; freight</t>
        </is>
      </c>
      <c r="J25" s="14" t="inlineStr"/>
      <c r="K25" s="14" t="inlineStr"/>
      <c r="L25" s="14" t="inlineStr"/>
    </row>
    <row r="26">
      <c r="A26" s="12" t="n">
        <v>1</v>
      </c>
      <c r="B26" s="12" t="inlineStr">
        <is>
          <t>ac-cm-08</t>
        </is>
      </c>
      <c r="C26" s="12" t="inlineStr">
        <is>
          <t>Permit allowance</t>
        </is>
      </c>
      <c r="D26" s="12" t="inlineStr">
        <is>
          <t>PERMIT</t>
        </is>
      </c>
      <c r="E26" s="12" t="inlineStr">
        <is>
          <t>-</t>
        </is>
      </c>
      <c r="F26" s="12" t="inlineStr">
        <is>
          <t>allow</t>
        </is>
      </c>
      <c r="G26" s="13" t="n">
        <v>175</v>
      </c>
      <c r="H26" s="13">
        <f>A26*G26</f>
        <v/>
      </c>
      <c r="I26" s="12" t="inlineStr">
        <is>
          <t>Consumables / misc &amp; freight</t>
        </is>
      </c>
      <c r="J26" s="12" t="inlineStr"/>
      <c r="K26" s="12" t="inlineStr"/>
      <c r="L26" s="12" t="inlineStr"/>
    </row>
    <row r="27">
      <c r="A27" s="14" t="n">
        <v>2</v>
      </c>
      <c r="B27" s="14" t="inlineStr">
        <is>
          <t>ac-iq-01</t>
        </is>
      </c>
      <c r="C27" s="14" t="inlineStr">
        <is>
          <t>MERV pleated filter</t>
        </is>
      </c>
      <c r="D27" s="14" t="inlineStr">
        <is>
          <t>MERV</t>
        </is>
      </c>
      <c r="E27" s="14" t="inlineStr">
        <is>
          <t>-</t>
        </is>
      </c>
      <c r="F27" s="14" t="inlineStr">
        <is>
          <t>ea</t>
        </is>
      </c>
      <c r="G27" s="15" t="n">
        <v>18</v>
      </c>
      <c r="H27" s="15">
        <f>A27*G27</f>
        <v/>
      </c>
      <c r="I27" s="14" t="inlineStr">
        <is>
          <t>Filters &amp; IAQ</t>
        </is>
      </c>
      <c r="J27" s="14" t="inlineStr"/>
      <c r="K27" s="14" t="inlineStr"/>
      <c r="L27" s="14" t="inlineStr"/>
    </row>
    <row r="28">
      <c r="H28" s="6">
        <f>IF(OR(A28="",G28=""),"",A28*G28)</f>
        <v/>
      </c>
    </row>
    <row r="29">
      <c r="H29" s="6">
        <f>IF(OR(A29="",G29=""),"",A29*G29)</f>
        <v/>
      </c>
    </row>
    <row r="30">
      <c r="H30" s="6">
        <f>IF(OR(A30="",G30=""),"",A30*G30)</f>
        <v/>
      </c>
    </row>
    <row r="31">
      <c r="H31" s="6">
        <f>IF(OR(A31="",G31=""),"",A31*G31)</f>
        <v/>
      </c>
    </row>
    <row r="32">
      <c r="H32" s="6">
        <f>IF(OR(A32="",G32=""),"",A32*G32)</f>
        <v/>
      </c>
    </row>
    <row r="33">
      <c r="H33" s="6">
        <f>IF(OR(A33="",G33=""),"",A33*G33)</f>
        <v/>
      </c>
    </row>
    <row r="34">
      <c r="H34" s="6">
        <f>IF(OR(A34="",G34=""),"",A34*G34)</f>
        <v/>
      </c>
    </row>
    <row r="35">
      <c r="H35" s="6">
        <f>IF(OR(A35="",G35=""),"",A35*G35)</f>
        <v/>
      </c>
    </row>
    <row r="36">
      <c r="H36" s="6">
        <f>IF(OR(A36="",G36=""),"",A36*G36)</f>
        <v/>
      </c>
    </row>
    <row r="37">
      <c r="H37" s="6">
        <f>IF(OR(A37="",G37=""),"",A37*G37)</f>
        <v/>
      </c>
    </row>
    <row r="38">
      <c r="H38" s="6">
        <f>IF(OR(A38="",G38=""),"",A38*G38)</f>
        <v/>
      </c>
    </row>
    <row r="39">
      <c r="H39" s="6">
        <f>IF(OR(A39="",G39=""),"",A39*G39)</f>
        <v/>
      </c>
    </row>
    <row r="40">
      <c r="H40" s="6">
        <f>IF(OR(A40="",G40=""),"",A40*G40)</f>
        <v/>
      </c>
    </row>
    <row r="41">
      <c r="H41" s="6">
        <f>IF(OR(A41="",G41=""),"",A41*G41)</f>
        <v/>
      </c>
    </row>
    <row r="42">
      <c r="H42" s="6">
        <f>IF(OR(A42="",G42=""),"",A42*G42)</f>
        <v/>
      </c>
    </row>
    <row r="43">
      <c r="H43" s="6">
        <f>IF(OR(A43="",G43=""),"",A43*G43)</f>
        <v/>
      </c>
    </row>
    <row r="44">
      <c r="H44" s="6">
        <f>IF(OR(A44="",G44=""),"",A44*G44)</f>
        <v/>
      </c>
    </row>
    <row r="45">
      <c r="H45" s="6">
        <f>IF(OR(A45="",G45=""),"",A45*G45)</f>
        <v/>
      </c>
    </row>
    <row r="46">
      <c r="H46" s="6">
        <f>IF(OR(A46="",G46=""),"",A46*G46)</f>
        <v/>
      </c>
    </row>
    <row r="47">
      <c r="H47" s="6">
        <f>IF(OR(A47="",G47=""),"",A47*G47)</f>
        <v/>
      </c>
    </row>
    <row r="48">
      <c r="H48" s="6">
        <f>IF(OR(A48="",G48=""),"",A48*G48)</f>
        <v/>
      </c>
    </row>
    <row r="49">
      <c r="H49" s="6">
        <f>IF(OR(A49="",G49=""),"",A49*G49)</f>
        <v/>
      </c>
    </row>
    <row r="50">
      <c r="H50" s="6">
        <f>IF(OR(A50="",G50=""),"",A50*G50)</f>
        <v/>
      </c>
    </row>
    <row r="51">
      <c r="H51" s="6">
        <f>IF(OR(A51="",G51=""),"",A51*G51)</f>
        <v/>
      </c>
    </row>
    <row r="52">
      <c r="H52" s="6">
        <f>IF(OR(A52="",G52=""),"",A52*G52)</f>
        <v/>
      </c>
    </row>
    <row r="53">
      <c r="H53" s="6">
        <f>IF(OR(A53="",G53=""),"",A53*G53)</f>
        <v/>
      </c>
    </row>
    <row r="54">
      <c r="H54" s="6">
        <f>IF(OR(A54="",G54=""),"",A54*G54)</f>
        <v/>
      </c>
    </row>
    <row r="55">
      <c r="H55" s="6">
        <f>IF(OR(A55="",G55=""),"",A55*G55)</f>
        <v/>
      </c>
    </row>
    <row r="56">
      <c r="H56" s="6">
        <f>IF(OR(A56="",G56=""),"",A56*G56)</f>
        <v/>
      </c>
    </row>
    <row r="57">
      <c r="H57" s="6">
        <f>IF(OR(A57="",G57=""),"",A57*G57)</f>
        <v/>
      </c>
    </row>
    <row r="58">
      <c r="H58" s="6">
        <f>IF(OR(A58="",G58=""),"",A58*G58)</f>
        <v/>
      </c>
    </row>
    <row r="59">
      <c r="H59" s="6">
        <f>IF(OR(A59="",G59=""),"",A59*G59)</f>
        <v/>
      </c>
    </row>
    <row r="60">
      <c r="H60" s="6">
        <f>IF(OR(A60="",G60=""),"",A60*G60)</f>
        <v/>
      </c>
    </row>
    <row r="61">
      <c r="H61" s="6">
        <f>IF(OR(A61="",G61=""),"",A61*G61)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0" customWidth="1" min="4" max="4"/>
    <col width="8" customWidth="1" min="5" max="5"/>
    <col width="12" customWidth="1" min="6" max="6"/>
    <col width="28" customWidth="1" min="7" max="7"/>
    <col width="10" customWidth="1" min="8" max="8"/>
    <col width="10" customWidth="1" min="9" max="9"/>
    <col width="12" customWidth="1" min="10" max="10"/>
    <col width="40" customWidth="1" min="11" max="11"/>
  </cols>
  <sheetData>
    <row r="1">
      <c r="A1" s="1" t="inlineStr">
        <is>
          <t>HVAC CATALOG — Texas estimating price book (example USD)</t>
        </is>
      </c>
    </row>
    <row r="2">
      <c r="A2" t="inlineStr">
        <is>
          <t>R-454B / A2L = new-install path; R-410A = service/legacy. Prices are ballpark defaults — verify vendor quotes / AHRI. Not a design tool.</t>
        </is>
      </c>
    </row>
    <row r="3">
      <c r="A3" t="inlineStr">
        <is>
          <t>Categories cover Outdoor, Indoor, Package, Mini-split, Line sets, Refrigerant, A2L extras, Condensate, Duct, Controls, Electrical accessories, Pads, Filters/IAQ, Insulation, Consumables.</t>
        </is>
      </c>
    </row>
    <row r="5">
      <c r="A5" s="11" t="inlineStr">
        <is>
          <t>ID</t>
        </is>
      </c>
      <c r="B5" s="11" t="inlineStr">
        <is>
          <t>Item</t>
        </is>
      </c>
      <c r="C5" s="11" t="inlineStr">
        <is>
          <t>Part #</t>
        </is>
      </c>
      <c r="D5" s="11" t="inlineStr">
        <is>
          <t>Vendor</t>
        </is>
      </c>
      <c r="E5" s="11" t="inlineStr">
        <is>
          <t>Units</t>
        </is>
      </c>
      <c r="F5" s="11" t="inlineStr">
        <is>
          <t>Unit Cost</t>
        </is>
      </c>
      <c r="G5" s="11" t="inlineStr">
        <is>
          <t>Category</t>
        </is>
      </c>
      <c r="H5" s="11" t="inlineStr">
        <is>
          <t>SEER2</t>
        </is>
      </c>
      <c r="I5" s="11" t="inlineStr">
        <is>
          <t>HSPF2</t>
        </is>
      </c>
      <c r="J5" s="11" t="inlineStr">
        <is>
          <t>Refrigerant</t>
        </is>
      </c>
      <c r="K5" s="11" t="inlineStr">
        <is>
          <t>Notes / Flags</t>
        </is>
      </c>
    </row>
    <row r="6">
      <c r="A6" s="12" t="inlineStr">
        <is>
          <t>ac-ou-01</t>
        </is>
      </c>
      <c r="B6" s="12" t="inlineStr">
        <is>
          <t>Split-system condensing unit, cooling-only, SEER2-rated (TX Southeast)</t>
        </is>
      </c>
      <c r="C6" s="12" t="inlineStr">
        <is>
          <t>OU-AC-SEER2</t>
        </is>
      </c>
      <c r="D6" s="12" t="inlineStr">
        <is>
          <t>-</t>
        </is>
      </c>
      <c r="E6" s="12" t="inlineStr">
        <is>
          <t>ea</t>
        </is>
      </c>
      <c r="F6" s="13" t="n">
        <v>2400</v>
      </c>
      <c r="G6" s="12" t="inlineStr">
        <is>
          <t>Outdoor units</t>
        </is>
      </c>
      <c r="H6" s="12" t="inlineStr">
        <is>
          <t>14.3+</t>
        </is>
      </c>
      <c r="I6" s="12" t="inlineStr"/>
      <c r="J6" s="12" t="inlineStr">
        <is>
          <t>R-454B</t>
        </is>
      </c>
      <c r="K6" s="12" t="inlineStr">
        <is>
          <t>TX install SEER2 floors: &lt;45 kBtu 14.3 / ≥45 kBtu 13.8. National 13.4 is manufacture floor — not TX install. EER2 regional adders are Southwest (not Texas). | new-install,verify-AHRI</t>
        </is>
      </c>
    </row>
    <row r="7">
      <c r="A7" s="14" t="inlineStr">
        <is>
          <t>ac-ou-02</t>
        </is>
      </c>
      <c r="B7" s="14" t="inlineStr">
        <is>
          <t>Split-system heat pump outdoor unit, SEER2/HSPF2-rated</t>
        </is>
      </c>
      <c r="C7" s="14" t="inlineStr">
        <is>
          <t>OU-HP-SEER2</t>
        </is>
      </c>
      <c r="D7" s="14" t="inlineStr">
        <is>
          <t>-</t>
        </is>
      </c>
      <c r="E7" s="14" t="inlineStr">
        <is>
          <t>ea</t>
        </is>
      </c>
      <c r="F7" s="15" t="n">
        <v>2800</v>
      </c>
      <c r="G7" s="14" t="inlineStr">
        <is>
          <t>Outdoor units</t>
        </is>
      </c>
      <c r="H7" s="14" t="inlineStr">
        <is>
          <t>14.3+</t>
        </is>
      </c>
      <c r="I7" s="14" t="inlineStr">
        <is>
          <t>7.5+</t>
        </is>
      </c>
      <c r="J7" s="14" t="inlineStr">
        <is>
          <t>R-454B</t>
        </is>
      </c>
      <c r="K7" s="14" t="inlineStr">
        <is>
          <t>Split HP national floors: 14.3 SEER2 / 7.5 HSPF2. Confirm published AHRI ratings. | new-install</t>
        </is>
      </c>
    </row>
    <row r="8">
      <c r="A8" s="12" t="inlineStr">
        <is>
          <t>ac-ou-03</t>
        </is>
      </c>
      <c r="B8" s="12" t="inlineStr">
        <is>
          <t>Outdoor unit, side-discharge / compact footprint</t>
        </is>
      </c>
      <c r="C8" s="12" t="inlineStr">
        <is>
          <t>OU-SIDE</t>
        </is>
      </c>
      <c r="D8" s="12" t="inlineStr">
        <is>
          <t>-</t>
        </is>
      </c>
      <c r="E8" s="12" t="inlineStr">
        <is>
          <t>ea</t>
        </is>
      </c>
      <c r="F8" s="13" t="n">
        <v>3100</v>
      </c>
      <c r="G8" s="12" t="inlineStr">
        <is>
          <t>Outdoor units</t>
        </is>
      </c>
      <c r="H8" s="12" t="inlineStr"/>
      <c r="I8" s="12" t="inlineStr"/>
      <c r="J8" s="12" t="inlineStr"/>
      <c r="K8" s="12" t="inlineStr">
        <is>
          <t>Clearances per manufacturer.</t>
        </is>
      </c>
    </row>
    <row r="9">
      <c r="A9" s="14" t="inlineStr">
        <is>
          <t>ac-ou-04</t>
        </is>
      </c>
      <c r="B9" s="14" t="inlineStr">
        <is>
          <t>Outdoor unit, coastal / corrosion-resistant coil option</t>
        </is>
      </c>
      <c r="C9" s="14" t="inlineStr">
        <is>
          <t>OU-COAST</t>
        </is>
      </c>
      <c r="D9" s="14" t="inlineStr">
        <is>
          <t>-</t>
        </is>
      </c>
      <c r="E9" s="14" t="inlineStr">
        <is>
          <t>ea</t>
        </is>
      </c>
      <c r="F9" s="15" t="n">
        <v>425</v>
      </c>
      <c r="G9" s="14" t="inlineStr">
        <is>
          <t>Outdoor units</t>
        </is>
      </c>
      <c r="H9" s="14" t="inlineStr"/>
      <c r="I9" s="14" t="inlineStr"/>
      <c r="J9" s="14" t="inlineStr"/>
      <c r="K9" s="14" t="inlineStr">
        <is>
          <t>Gulf/coastal option line — not automatic.</t>
        </is>
      </c>
    </row>
    <row r="10">
      <c r="A10" s="12" t="inlineStr">
        <is>
          <t>ac-ou-05</t>
        </is>
      </c>
      <c r="B10" s="12" t="inlineStr">
        <is>
          <t>Outdoor unit pad-mount hardware kit</t>
        </is>
      </c>
      <c r="C10" s="12" t="inlineStr">
        <is>
          <t>OU-PADKIT</t>
        </is>
      </c>
      <c r="D10" s="12" t="inlineStr">
        <is>
          <t>-</t>
        </is>
      </c>
      <c r="E10" s="12" t="inlineStr">
        <is>
          <t>ea</t>
        </is>
      </c>
      <c r="F10" s="13" t="n">
        <v>48</v>
      </c>
      <c r="G10" s="12" t="inlineStr">
        <is>
          <t>Outdoor units</t>
        </is>
      </c>
      <c r="H10" s="12" t="inlineStr"/>
      <c r="I10" s="12" t="inlineStr"/>
      <c r="J10" s="12" t="inlineStr"/>
      <c r="K10" s="12" t="inlineStr"/>
    </row>
    <row r="11">
      <c r="A11" s="14" t="inlineStr">
        <is>
          <t>ac-in-01</t>
        </is>
      </c>
      <c r="B11" s="14" t="inlineStr">
        <is>
          <t>Multiposition air handler (electric heat optional)</t>
        </is>
      </c>
      <c r="C11" s="14" t="inlineStr">
        <is>
          <t>AHU-MP</t>
        </is>
      </c>
      <c r="D11" s="14" t="inlineStr">
        <is>
          <t>-</t>
        </is>
      </c>
      <c r="E11" s="14" t="inlineStr">
        <is>
          <t>ea</t>
        </is>
      </c>
      <c r="F11" s="15" t="n">
        <v>1600</v>
      </c>
      <c r="G11" s="14" t="inlineStr">
        <is>
          <t>Indoor units / air handlers / coils</t>
        </is>
      </c>
      <c r="H11" s="14" t="inlineStr"/>
      <c r="I11" s="14" t="inlineStr"/>
      <c r="J11" s="14" t="inlineStr">
        <is>
          <t>R-454B</t>
        </is>
      </c>
      <c r="K11" s="14" t="inlineStr">
        <is>
          <t>new-install</t>
        </is>
      </c>
    </row>
    <row r="12">
      <c r="A12" s="12" t="inlineStr">
        <is>
          <t>ac-in-02</t>
        </is>
      </c>
      <c r="B12" s="12" t="inlineStr">
        <is>
          <t>Cased evaporator coil (upflow/downflow/horizontal)</t>
        </is>
      </c>
      <c r="C12" s="12" t="inlineStr">
        <is>
          <t>COIL-CASED</t>
        </is>
      </c>
      <c r="D12" s="12" t="inlineStr">
        <is>
          <t>-</t>
        </is>
      </c>
      <c r="E12" s="12" t="inlineStr">
        <is>
          <t>ea</t>
        </is>
      </c>
      <c r="F12" s="13" t="n">
        <v>850</v>
      </c>
      <c r="G12" s="12" t="inlineStr">
        <is>
          <t>Indoor units / air handlers / coils</t>
        </is>
      </c>
      <c r="H12" s="12" t="inlineStr"/>
      <c r="I12" s="12" t="inlineStr"/>
      <c r="J12" s="12" t="inlineStr">
        <is>
          <t>R-454B</t>
        </is>
      </c>
      <c r="K12" s="12" t="inlineStr"/>
    </row>
    <row r="13">
      <c r="A13" s="14" t="inlineStr">
        <is>
          <t>ac-in-03</t>
        </is>
      </c>
      <c r="B13" s="14" t="inlineStr">
        <is>
          <t>Uncased coil</t>
        </is>
      </c>
      <c r="C13" s="14" t="inlineStr">
        <is>
          <t>COIL-UNC</t>
        </is>
      </c>
      <c r="D13" s="14" t="inlineStr">
        <is>
          <t>-</t>
        </is>
      </c>
      <c r="E13" s="14" t="inlineStr">
        <is>
          <t>ea</t>
        </is>
      </c>
      <c r="F13" s="15" t="n">
        <v>650</v>
      </c>
      <c r="G13" s="14" t="inlineStr">
        <is>
          <t>Indoor units / air handlers / coils</t>
        </is>
      </c>
      <c r="H13" s="14" t="inlineStr"/>
      <c r="I13" s="14" t="inlineStr"/>
      <c r="J13" s="14" t="inlineStr"/>
      <c r="K13" s="14" t="inlineStr"/>
    </row>
    <row r="14">
      <c r="A14" s="12" t="inlineStr">
        <is>
          <t>ac-in-04</t>
        </is>
      </c>
      <c r="B14" s="12" t="inlineStr">
        <is>
          <t>Furnace companion coil (cased)</t>
        </is>
      </c>
      <c r="C14" s="12" t="inlineStr">
        <is>
          <t>COIL-FURN</t>
        </is>
      </c>
      <c r="D14" s="12" t="inlineStr">
        <is>
          <t>-</t>
        </is>
      </c>
      <c r="E14" s="12" t="inlineStr">
        <is>
          <t>ea</t>
        </is>
      </c>
      <c r="F14" s="13" t="n">
        <v>780</v>
      </c>
      <c r="G14" s="12" t="inlineStr">
        <is>
          <t>Indoor units / air handlers / coils</t>
        </is>
      </c>
      <c r="H14" s="12" t="inlineStr"/>
      <c r="I14" s="12" t="inlineStr"/>
      <c r="J14" s="12" t="inlineStr"/>
      <c r="K14" s="12" t="inlineStr">
        <is>
          <t>Gas furnace + AC coil changeouts common in TX.</t>
        </is>
      </c>
    </row>
    <row r="15">
      <c r="A15" s="14" t="inlineStr">
        <is>
          <t>ac-in-05</t>
        </is>
      </c>
      <c r="B15" s="14" t="inlineStr">
        <is>
          <t>Gas furnace (non-weatherized) — record AFUE</t>
        </is>
      </c>
      <c r="C15" s="14" t="inlineStr">
        <is>
          <t>FURN-GAS</t>
        </is>
      </c>
      <c r="D15" s="14" t="inlineStr">
        <is>
          <t>-</t>
        </is>
      </c>
      <c r="E15" s="14" t="inlineStr">
        <is>
          <t>ea</t>
        </is>
      </c>
      <c r="F15" s="15" t="n">
        <v>2200</v>
      </c>
      <c r="G15" s="14" t="inlineStr">
        <is>
          <t>Indoor units / air handlers / coils</t>
        </is>
      </c>
      <c r="H15" s="14" t="inlineStr"/>
      <c r="I15" s="14" t="inlineStr"/>
      <c r="J15" s="14" t="inlineStr"/>
      <c r="K15" s="14" t="inlineStr">
        <is>
          <t>Federal AFUE floor 80% now; 95% for units mfr on/after 2028-12-18 (10 CFR 430.32(e)). Informational — does not change Method A.</t>
        </is>
      </c>
    </row>
    <row r="16">
      <c r="A16" s="12" t="inlineStr">
        <is>
          <t>ac-in-06</t>
        </is>
      </c>
      <c r="B16" s="12" t="inlineStr">
        <is>
          <t>Electric heat kit for air handler</t>
        </is>
      </c>
      <c r="C16" s="12" t="inlineStr">
        <is>
          <t>HEATKIT</t>
        </is>
      </c>
      <c r="D16" s="12" t="inlineStr">
        <is>
          <t>-</t>
        </is>
      </c>
      <c r="E16" s="12" t="inlineStr">
        <is>
          <t>ea</t>
        </is>
      </c>
      <c r="F16" s="13" t="n">
        <v>320</v>
      </c>
      <c r="G16" s="12" t="inlineStr">
        <is>
          <t>Indoor units / air handlers / coils</t>
        </is>
      </c>
      <c r="H16" s="12" t="inlineStr"/>
      <c r="I16" s="12" t="inlineStr"/>
      <c r="J16" s="12" t="inlineStr"/>
      <c r="K16" s="12" t="inlineStr">
        <is>
          <t>Size by kW; electrical feed by others as scoped.</t>
        </is>
      </c>
    </row>
    <row r="17">
      <c r="A17" s="14" t="inlineStr">
        <is>
          <t>ac-in-07</t>
        </is>
      </c>
      <c r="B17" s="14" t="inlineStr">
        <is>
          <t>Media filter cabinet (return)</t>
        </is>
      </c>
      <c r="C17" s="14" t="inlineStr">
        <is>
          <t>MEDIA-CAB</t>
        </is>
      </c>
      <c r="D17" s="14" t="inlineStr">
        <is>
          <t>-</t>
        </is>
      </c>
      <c r="E17" s="14" t="inlineStr">
        <is>
          <t>ea</t>
        </is>
      </c>
      <c r="F17" s="15" t="n">
        <v>185</v>
      </c>
      <c r="G17" s="14" t="inlineStr">
        <is>
          <t>Indoor units / air handlers / coils</t>
        </is>
      </c>
      <c r="H17" s="14" t="inlineStr"/>
      <c r="I17" s="14" t="inlineStr"/>
      <c r="J17" s="14" t="inlineStr"/>
      <c r="K17" s="14" t="inlineStr"/>
    </row>
    <row r="18">
      <c r="A18" s="12" t="inlineStr">
        <is>
          <t>ac-pk-01</t>
        </is>
      </c>
      <c r="B18" s="12" t="inlineStr">
        <is>
          <t>Packaged rooftop / ground AC (cooling-only)</t>
        </is>
      </c>
      <c r="C18" s="12" t="inlineStr">
        <is>
          <t>PKG-AC</t>
        </is>
      </c>
      <c r="D18" s="12" t="inlineStr">
        <is>
          <t>-</t>
        </is>
      </c>
      <c r="E18" s="12" t="inlineStr">
        <is>
          <t>ea</t>
        </is>
      </c>
      <c r="F18" s="13" t="n">
        <v>4200</v>
      </c>
      <c r="G18" s="12" t="inlineStr">
        <is>
          <t>Package units</t>
        </is>
      </c>
      <c r="H18" s="12" t="inlineStr">
        <is>
          <t>13.4+</t>
        </is>
      </c>
      <c r="I18" s="12" t="inlineStr"/>
      <c r="J18" s="12" t="inlineStr">
        <is>
          <t>R-454B</t>
        </is>
      </c>
      <c r="K18" s="12" t="inlineStr">
        <is>
          <t>Single-package SEER2 floors differ from splits — verify DOE class.</t>
        </is>
      </c>
    </row>
    <row r="19">
      <c r="A19" s="14" t="inlineStr">
        <is>
          <t>ac-pk-02</t>
        </is>
      </c>
      <c r="B19" s="14" t="inlineStr">
        <is>
          <t>Packaged heat pump</t>
        </is>
      </c>
      <c r="C19" s="14" t="inlineStr">
        <is>
          <t>PKG-HP</t>
        </is>
      </c>
      <c r="D19" s="14" t="inlineStr">
        <is>
          <t>-</t>
        </is>
      </c>
      <c r="E19" s="14" t="inlineStr">
        <is>
          <t>ea</t>
        </is>
      </c>
      <c r="F19" s="15" t="n">
        <v>4800</v>
      </c>
      <c r="G19" s="14" t="inlineStr">
        <is>
          <t>Package units</t>
        </is>
      </c>
      <c r="H19" s="14" t="inlineStr">
        <is>
          <t>13.4+</t>
        </is>
      </c>
      <c r="I19" s="14" t="inlineStr">
        <is>
          <t>6.7+</t>
        </is>
      </c>
      <c r="J19" s="14" t="inlineStr">
        <is>
          <t>R-454B</t>
        </is>
      </c>
      <c r="K19" s="14" t="inlineStr"/>
    </row>
    <row r="20">
      <c r="A20" s="12" t="inlineStr">
        <is>
          <t>ac-pk-03</t>
        </is>
      </c>
      <c r="B20" s="12" t="inlineStr">
        <is>
          <t>Packaged gas/electric (cooling + gas heat)</t>
        </is>
      </c>
      <c r="C20" s="12" t="inlineStr">
        <is>
          <t>PKG-GE</t>
        </is>
      </c>
      <c r="D20" s="12" t="inlineStr">
        <is>
          <t>-</t>
        </is>
      </c>
      <c r="E20" s="12" t="inlineStr">
        <is>
          <t>ea</t>
        </is>
      </c>
      <c r="F20" s="13" t="n">
        <v>5200</v>
      </c>
      <c r="G20" s="12" t="inlineStr">
        <is>
          <t>Package units</t>
        </is>
      </c>
      <c r="H20" s="12" t="inlineStr"/>
      <c r="I20" s="12" t="inlineStr"/>
      <c r="J20" s="12" t="inlineStr"/>
      <c r="K20" s="12" t="inlineStr">
        <is>
          <t>Confirm local fuel gas / IFGC via TDLR-adopted codes.</t>
        </is>
      </c>
    </row>
    <row r="21">
      <c r="A21" s="14" t="inlineStr">
        <is>
          <t>ac-pk-04</t>
        </is>
      </c>
      <c r="B21" s="14" t="inlineStr">
        <is>
          <t>Roof curb (adapter / standard)</t>
        </is>
      </c>
      <c r="C21" s="14" t="inlineStr">
        <is>
          <t>CURB</t>
        </is>
      </c>
      <c r="D21" s="14" t="inlineStr">
        <is>
          <t>-</t>
        </is>
      </c>
      <c r="E21" s="14" t="inlineStr">
        <is>
          <t>ea</t>
        </is>
      </c>
      <c r="F21" s="15" t="n">
        <v>450</v>
      </c>
      <c r="G21" s="14" t="inlineStr">
        <is>
          <t>Package units</t>
        </is>
      </c>
      <c r="H21" s="14" t="inlineStr"/>
      <c r="I21" s="14" t="inlineStr"/>
      <c r="J21" s="14" t="inlineStr"/>
      <c r="K21" s="14" t="inlineStr"/>
    </row>
    <row r="22">
      <c r="A22" s="12" t="inlineStr">
        <is>
          <t>ac-pk-05</t>
        </is>
      </c>
      <c r="B22" s="12" t="inlineStr">
        <is>
          <t>Transition / supply-return duct package for RTU</t>
        </is>
      </c>
      <c r="C22" s="12" t="inlineStr">
        <is>
          <t>RTU-DUCT</t>
        </is>
      </c>
      <c r="D22" s="12" t="inlineStr">
        <is>
          <t>-</t>
        </is>
      </c>
      <c r="E22" s="12" t="inlineStr">
        <is>
          <t>ea</t>
        </is>
      </c>
      <c r="F22" s="13" t="n">
        <v>650</v>
      </c>
      <c r="G22" s="12" t="inlineStr">
        <is>
          <t>Package units</t>
        </is>
      </c>
      <c r="H22" s="12" t="inlineStr"/>
      <c r="I22" s="12" t="inlineStr"/>
      <c r="J22" s="12" t="inlineStr"/>
      <c r="K22" s="12" t="inlineStr"/>
    </row>
    <row r="23">
      <c r="A23" s="14" t="inlineStr">
        <is>
          <t>ac-ms-01</t>
        </is>
      </c>
      <c r="B23" s="14" t="inlineStr">
        <is>
          <t>Ductless indoor wall / ceiling cassette head</t>
        </is>
      </c>
      <c r="C23" s="14" t="inlineStr">
        <is>
          <t>MS-HEAD</t>
        </is>
      </c>
      <c r="D23" s="14" t="inlineStr">
        <is>
          <t>-</t>
        </is>
      </c>
      <c r="E23" s="14" t="inlineStr">
        <is>
          <t>ea</t>
        </is>
      </c>
      <c r="F23" s="15" t="n">
        <v>650</v>
      </c>
      <c r="G23" s="14" t="inlineStr">
        <is>
          <t>Mini-split / multi-zone</t>
        </is>
      </c>
      <c r="H23" s="14" t="inlineStr"/>
      <c r="I23" s="14" t="inlineStr"/>
      <c r="J23" s="14" t="inlineStr">
        <is>
          <t>R-454B</t>
        </is>
      </c>
      <c r="K23" s="14" t="inlineStr"/>
    </row>
    <row r="24">
      <c r="A24" s="12" t="inlineStr">
        <is>
          <t>ac-ms-02</t>
        </is>
      </c>
      <c r="B24" s="12" t="inlineStr">
        <is>
          <t>Ductless outdoor multi-port unit</t>
        </is>
      </c>
      <c r="C24" s="12" t="inlineStr">
        <is>
          <t>MS-ODU</t>
        </is>
      </c>
      <c r="D24" s="12" t="inlineStr">
        <is>
          <t>-</t>
        </is>
      </c>
      <c r="E24" s="12" t="inlineStr">
        <is>
          <t>ea</t>
        </is>
      </c>
      <c r="F24" s="13" t="n">
        <v>2200</v>
      </c>
      <c r="G24" s="12" t="inlineStr">
        <is>
          <t>Mini-split / multi-zone</t>
        </is>
      </c>
      <c r="H24" s="12" t="inlineStr"/>
      <c r="I24" s="12" t="inlineStr"/>
      <c r="J24" s="12" t="inlineStr">
        <is>
          <t>R-454B</t>
        </is>
      </c>
      <c r="K24" s="12" t="inlineStr">
        <is>
          <t>Verify EPA / OEM class; VRF dates may differ from split.</t>
        </is>
      </c>
    </row>
    <row r="25">
      <c r="A25" s="14" t="inlineStr">
        <is>
          <t>ac-ms-03</t>
        </is>
      </c>
      <c r="B25" s="14" t="inlineStr">
        <is>
          <t>Branch box / distributor</t>
        </is>
      </c>
      <c r="C25" s="14" t="inlineStr">
        <is>
          <t>MS-BRANCH</t>
        </is>
      </c>
      <c r="D25" s="14" t="inlineStr">
        <is>
          <t>-</t>
        </is>
      </c>
      <c r="E25" s="14" t="inlineStr">
        <is>
          <t>ea</t>
        </is>
      </c>
      <c r="F25" s="15" t="n">
        <v>380</v>
      </c>
      <c r="G25" s="14" t="inlineStr">
        <is>
          <t>Mini-split / multi-zone</t>
        </is>
      </c>
      <c r="H25" s="14" t="inlineStr"/>
      <c r="I25" s="14" t="inlineStr"/>
      <c r="J25" s="14" t="inlineStr"/>
      <c r="K25" s="14" t="inlineStr">
        <is>
          <t>Design by others — set qty and price as scoped.</t>
        </is>
      </c>
    </row>
    <row r="26">
      <c r="A26" s="12" t="inlineStr">
        <is>
          <t>ac-ls-01</t>
        </is>
      </c>
      <c r="B26" s="12" t="inlineStr">
        <is>
          <t>Insulated line set, 1/4 × 3/8, 15–25 ft band</t>
        </is>
      </c>
      <c r="C26" s="12" t="inlineStr">
        <is>
          <t>LS-1438</t>
        </is>
      </c>
      <c r="D26" s="12" t="inlineStr">
        <is>
          <t>-</t>
        </is>
      </c>
      <c r="E26" s="12" t="inlineStr">
        <is>
          <t>ea</t>
        </is>
      </c>
      <c r="F26" s="13" t="n">
        <v>95</v>
      </c>
      <c r="G26" s="12" t="inlineStr">
        <is>
          <t>Line sets &amp; fittings</t>
        </is>
      </c>
      <c r="H26" s="12" t="inlineStr"/>
      <c r="I26" s="12" t="inlineStr"/>
      <c r="J26" s="12" t="inlineStr"/>
      <c r="K26" s="12" t="inlineStr">
        <is>
          <t>Do not auto-calc length from tonnage.</t>
        </is>
      </c>
    </row>
    <row r="27">
      <c r="A27" s="14" t="inlineStr">
        <is>
          <t>ac-ls-02</t>
        </is>
      </c>
      <c r="B27" s="14" t="inlineStr">
        <is>
          <t>Insulated line set, 3/8 × 3/4, 15–25 ft band</t>
        </is>
      </c>
      <c r="C27" s="14" t="inlineStr">
        <is>
          <t>LS-3874</t>
        </is>
      </c>
      <c r="D27" s="14" t="inlineStr">
        <is>
          <t>-</t>
        </is>
      </c>
      <c r="E27" s="14" t="inlineStr">
        <is>
          <t>ea</t>
        </is>
      </c>
      <c r="F27" s="15" t="n">
        <v>185</v>
      </c>
      <c r="G27" s="14" t="inlineStr">
        <is>
          <t>Line sets &amp; fittings</t>
        </is>
      </c>
      <c r="H27" s="14" t="inlineStr"/>
      <c r="I27" s="14" t="inlineStr"/>
      <c r="J27" s="14" t="inlineStr"/>
      <c r="K27" s="14" t="inlineStr"/>
    </row>
    <row r="28">
      <c r="A28" s="12" t="inlineStr">
        <is>
          <t>ac-ls-03</t>
        </is>
      </c>
      <c r="B28" s="12" t="inlineStr">
        <is>
          <t>Insulated line set, 3/8 × 7/8, 15–50 ft band</t>
        </is>
      </c>
      <c r="C28" s="12" t="inlineStr">
        <is>
          <t>LS-3878</t>
        </is>
      </c>
      <c r="D28" s="12" t="inlineStr">
        <is>
          <t>-</t>
        </is>
      </c>
      <c r="E28" s="12" t="inlineStr">
        <is>
          <t>ea</t>
        </is>
      </c>
      <c r="F28" s="13" t="n">
        <v>275</v>
      </c>
      <c r="G28" s="12" t="inlineStr">
        <is>
          <t>Line sets &amp; fittings</t>
        </is>
      </c>
      <c r="H28" s="12" t="inlineStr"/>
      <c r="I28" s="12" t="inlineStr"/>
      <c r="J28" s="12" t="inlineStr"/>
      <c r="K28" s="12" t="inlineStr"/>
    </row>
    <row r="29">
      <c r="A29" s="14" t="inlineStr">
        <is>
          <t>ac-ls-04</t>
        </is>
      </c>
      <c r="B29" s="14" t="inlineStr">
        <is>
          <t>Soft copper ACR tube (by size)</t>
        </is>
      </c>
      <c r="C29" s="14" t="inlineStr">
        <is>
          <t>ACR-CU</t>
        </is>
      </c>
      <c r="D29" s="14" t="inlineStr">
        <is>
          <t>-</t>
        </is>
      </c>
      <c r="E29" s="14" t="inlineStr">
        <is>
          <t>ft</t>
        </is>
      </c>
      <c r="F29" s="15" t="n">
        <v>4.5</v>
      </c>
      <c r="G29" s="14" t="inlineStr">
        <is>
          <t>Line sets &amp; fittings</t>
        </is>
      </c>
      <c r="H29" s="14" t="inlineStr"/>
      <c r="I29" s="14" t="inlineStr"/>
      <c r="J29" s="14" t="inlineStr"/>
      <c r="K29" s="14" t="inlineStr"/>
    </row>
    <row r="30">
      <c r="A30" s="12" t="inlineStr">
        <is>
          <t>ac-ls-05</t>
        </is>
      </c>
      <c r="B30" s="12" t="inlineStr">
        <is>
          <t>Flare nuts / flare fittings assortment</t>
        </is>
      </c>
      <c r="C30" s="12" t="inlineStr">
        <is>
          <t>FLARE-KIT</t>
        </is>
      </c>
      <c r="D30" s="12" t="inlineStr">
        <is>
          <t>-</t>
        </is>
      </c>
      <c r="E30" s="12" t="inlineStr">
        <is>
          <t>kit</t>
        </is>
      </c>
      <c r="F30" s="13" t="n">
        <v>35</v>
      </c>
      <c r="G30" s="12" t="inlineStr">
        <is>
          <t>Line sets &amp; fittings</t>
        </is>
      </c>
      <c r="H30" s="12" t="inlineStr"/>
      <c r="I30" s="12" t="inlineStr"/>
      <c r="J30" s="12" t="inlineStr"/>
      <c r="K30" s="12" t="inlineStr">
        <is>
          <t>A2L / OEM connection method may differ.</t>
        </is>
      </c>
    </row>
    <row r="31">
      <c r="A31" s="14" t="inlineStr">
        <is>
          <t>ac-ls-06</t>
        </is>
      </c>
      <c r="B31" s="14" t="inlineStr">
        <is>
          <t>Ball valve / service valve (pair)</t>
        </is>
      </c>
      <c r="C31" s="14" t="inlineStr">
        <is>
          <t>BV-PAIR</t>
        </is>
      </c>
      <c r="D31" s="14" t="inlineStr">
        <is>
          <t>-</t>
        </is>
      </c>
      <c r="E31" s="14" t="inlineStr">
        <is>
          <t>ea</t>
        </is>
      </c>
      <c r="F31" s="15" t="n">
        <v>85</v>
      </c>
      <c r="G31" s="14" t="inlineStr">
        <is>
          <t>Line sets &amp; fittings</t>
        </is>
      </c>
      <c r="H31" s="14" t="inlineStr"/>
      <c r="I31" s="14" t="inlineStr"/>
      <c r="J31" s="14" t="inlineStr"/>
      <c r="K31" s="14" t="inlineStr"/>
    </row>
    <row r="32">
      <c r="A32" s="12" t="inlineStr">
        <is>
          <t>ac-ls-07</t>
        </is>
      </c>
      <c r="B32" s="12" t="inlineStr">
        <is>
          <t>Filter-drier (liquid line), size by system</t>
        </is>
      </c>
      <c r="C32" s="12" t="inlineStr">
        <is>
          <t>FD-LL</t>
        </is>
      </c>
      <c r="D32" s="12" t="inlineStr">
        <is>
          <t>-</t>
        </is>
      </c>
      <c r="E32" s="12" t="inlineStr">
        <is>
          <t>ea</t>
        </is>
      </c>
      <c r="F32" s="13" t="n">
        <v>48</v>
      </c>
      <c r="G32" s="12" t="inlineStr">
        <is>
          <t>Line sets &amp; fittings</t>
        </is>
      </c>
      <c r="H32" s="12" t="inlineStr"/>
      <c r="I32" s="12" t="inlineStr"/>
      <c r="J32" s="12" t="inlineStr">
        <is>
          <t>R-454B</t>
        </is>
      </c>
      <c r="K32" s="12" t="inlineStr"/>
    </row>
    <row r="33">
      <c r="A33" s="14" t="inlineStr">
        <is>
          <t>ac-ls-08</t>
        </is>
      </c>
      <c r="B33" s="14" t="inlineStr">
        <is>
          <t>Sight glass / moisture indicator</t>
        </is>
      </c>
      <c r="C33" s="14" t="inlineStr">
        <is>
          <t>SG</t>
        </is>
      </c>
      <c r="D33" s="14" t="inlineStr">
        <is>
          <t>-</t>
        </is>
      </c>
      <c r="E33" s="14" t="inlineStr">
        <is>
          <t>ea</t>
        </is>
      </c>
      <c r="F33" s="15" t="n">
        <v>28</v>
      </c>
      <c r="G33" s="14" t="inlineStr">
        <is>
          <t>Line sets &amp; fittings</t>
        </is>
      </c>
      <c r="H33" s="14" t="inlineStr"/>
      <c r="I33" s="14" t="inlineStr"/>
      <c r="J33" s="14" t="inlineStr"/>
      <c r="K33" s="14" t="inlineStr"/>
    </row>
    <row r="34">
      <c r="A34" s="12" t="inlineStr">
        <is>
          <t>ac-ls-09</t>
        </is>
      </c>
      <c r="B34" s="12" t="inlineStr">
        <is>
          <t>Line-set wall penetration cover / escutcheon</t>
        </is>
      </c>
      <c r="C34" s="12" t="inlineStr">
        <is>
          <t>LS-ESC</t>
        </is>
      </c>
      <c r="D34" s="12" t="inlineStr">
        <is>
          <t>-</t>
        </is>
      </c>
      <c r="E34" s="12" t="inlineStr">
        <is>
          <t>ea</t>
        </is>
      </c>
      <c r="F34" s="13" t="n">
        <v>18</v>
      </c>
      <c r="G34" s="12" t="inlineStr">
        <is>
          <t>Line sets &amp; fittings</t>
        </is>
      </c>
      <c r="H34" s="12" t="inlineStr"/>
      <c r="I34" s="12" t="inlineStr"/>
      <c r="J34" s="12" t="inlineStr"/>
      <c r="K34" s="12" t="inlineStr"/>
    </row>
    <row r="35">
      <c r="A35" s="14" t="inlineStr">
        <is>
          <t>ac-ls-10</t>
        </is>
      </c>
      <c r="B35" s="14" t="inlineStr">
        <is>
          <t>UV-resistant line-set paint / jacketing</t>
        </is>
      </c>
      <c r="C35" s="14" t="inlineStr">
        <is>
          <t>LS-UV</t>
        </is>
      </c>
      <c r="D35" s="14" t="inlineStr">
        <is>
          <t>-</t>
        </is>
      </c>
      <c r="E35" s="14" t="inlineStr">
        <is>
          <t>ft</t>
        </is>
      </c>
      <c r="F35" s="15" t="n">
        <v>3.25</v>
      </c>
      <c r="G35" s="14" t="inlineStr">
        <is>
          <t>Line sets &amp; fittings</t>
        </is>
      </c>
      <c r="H35" s="14" t="inlineStr"/>
      <c r="I35" s="14" t="inlineStr"/>
      <c r="J35" s="14" t="inlineStr"/>
      <c r="K35" s="14" t="inlineStr"/>
    </row>
    <row r="36">
      <c r="A36" s="12" t="inlineStr">
        <is>
          <t>ac-rf-01</t>
        </is>
      </c>
      <c r="B36" s="12" t="inlineStr">
        <is>
          <t>Virgin refrigerant R-454B (cylinder) — new-install A2L path</t>
        </is>
      </c>
      <c r="C36" s="12" t="inlineStr">
        <is>
          <t>R454B</t>
        </is>
      </c>
      <c r="D36" s="12" t="inlineStr">
        <is>
          <t>-</t>
        </is>
      </c>
      <c r="E36" s="12" t="inlineStr">
        <is>
          <t>lb</t>
        </is>
      </c>
      <c r="F36" s="13" t="n">
        <v>120</v>
      </c>
      <c r="G36" s="12" t="inlineStr">
        <is>
          <t>Refrigerant &amp; recovery</t>
        </is>
      </c>
      <c r="H36" s="12" t="inlineStr"/>
      <c r="I36" s="12" t="inlineStr"/>
      <c r="J36" s="12" t="inlineStr">
        <is>
          <t>R-454B</t>
        </is>
      </c>
      <c r="K36" s="12" t="inlineStr">
        <is>
          <t>Primary new-install refrigerant for 2026 TX estimating. Mildly flammable A2L — trained techs + compatible tools. No charge calculator. Example estimating default — verify against shop/vendor quotes. | new-install,A2L</t>
        </is>
      </c>
    </row>
    <row r="37">
      <c r="A37" s="14" t="inlineStr">
        <is>
          <t>ac-rf-02</t>
        </is>
      </c>
      <c r="B37" s="14" t="inlineStr">
        <is>
          <t>Virgin refrigerant R-32 (cylinder) — A2L path</t>
        </is>
      </c>
      <c r="C37" s="14" t="inlineStr">
        <is>
          <t>R32</t>
        </is>
      </c>
      <c r="D37" s="14" t="inlineStr">
        <is>
          <t>-</t>
        </is>
      </c>
      <c r="E37" s="14" t="inlineStr">
        <is>
          <t>lb</t>
        </is>
      </c>
      <c r="F37" s="15" t="n">
        <v>95</v>
      </c>
      <c r="G37" s="14" t="inlineStr">
        <is>
          <t>Refrigerant &amp; recovery</t>
        </is>
      </c>
      <c r="H37" s="14" t="inlineStr"/>
      <c r="I37" s="14" t="inlineStr"/>
      <c r="J37" s="14" t="inlineStr">
        <is>
          <t>R-32</t>
        </is>
      </c>
      <c r="K37" s="14" t="inlineStr">
        <is>
          <t>Common A2L OEM path. Verify OEM refrigerant. | new-install,A2L</t>
        </is>
      </c>
    </row>
    <row r="38">
      <c r="A38" s="12" t="inlineStr">
        <is>
          <t>ac-rf-03</t>
        </is>
      </c>
      <c r="B38" s="12" t="inlineStr">
        <is>
          <t>Virgin refrigerant R-410A (cylinder) — SERVICE / LEGACY ONLY</t>
        </is>
      </c>
      <c r="C38" s="12" t="inlineStr">
        <is>
          <t>R410A-SVC</t>
        </is>
      </c>
      <c r="D38" s="12" t="inlineStr">
        <is>
          <t>-</t>
        </is>
      </c>
      <c r="E38" s="12" t="inlineStr">
        <is>
          <t>lb</t>
        </is>
      </c>
      <c r="F38" s="13" t="n">
        <v>75</v>
      </c>
      <c r="G38" s="12" t="inlineStr">
        <is>
          <t>Refrigerant &amp; recovery</t>
        </is>
      </c>
      <c r="H38" s="12" t="inlineStr"/>
      <c r="I38" s="12" t="inlineStr"/>
      <c r="J38" s="12" t="inlineStr">
        <is>
          <t>R-410A</t>
        </is>
      </c>
      <c r="K38" s="12" t="inlineStr">
        <is>
          <t>Service/existing systems and remaining legal pre-2025 inventory only. Not default new-install SKU after GWP 700 rules. Confirm EPA Technology Transitions. | service-legacy</t>
        </is>
      </c>
    </row>
    <row r="39">
      <c r="A39" s="14" t="inlineStr">
        <is>
          <t>ac-rf-04</t>
        </is>
      </c>
      <c r="B39" s="14" t="inlineStr">
        <is>
          <t>Nitrogen (oxygen-free), cylinder</t>
        </is>
      </c>
      <c r="C39" s="14" t="inlineStr">
        <is>
          <t>N2</t>
        </is>
      </c>
      <c r="D39" s="14" t="inlineStr">
        <is>
          <t>-</t>
        </is>
      </c>
      <c r="E39" s="14" t="inlineStr">
        <is>
          <t>cyl</t>
        </is>
      </c>
      <c r="F39" s="15" t="n">
        <v>45</v>
      </c>
      <c r="G39" s="14" t="inlineStr">
        <is>
          <t>Refrigerant &amp; recovery</t>
        </is>
      </c>
      <c r="H39" s="14" t="inlineStr"/>
      <c r="I39" s="14" t="inlineStr"/>
      <c r="J39" s="14" t="inlineStr"/>
      <c r="K39" s="14" t="inlineStr"/>
    </row>
    <row r="40">
      <c r="A40" s="12" t="inlineStr">
        <is>
          <t>ac-rf-05</t>
        </is>
      </c>
      <c r="B40" s="12" t="inlineStr">
        <is>
          <t>Recovery cylinder (DOT), refrigerant-class specific</t>
        </is>
      </c>
      <c r="C40" s="12" t="inlineStr">
        <is>
          <t>REC-CYL</t>
        </is>
      </c>
      <c r="D40" s="12" t="inlineStr">
        <is>
          <t>-</t>
        </is>
      </c>
      <c r="E40" s="12" t="inlineStr">
        <is>
          <t>ea</t>
        </is>
      </c>
      <c r="F40" s="13" t="n">
        <v>185</v>
      </c>
      <c r="G40" s="12" t="inlineStr">
        <is>
          <t>Refrigerant &amp; recovery</t>
        </is>
      </c>
      <c r="H40" s="12" t="inlineStr"/>
      <c r="I40" s="12" t="inlineStr"/>
      <c r="J40" s="12" t="inlineStr"/>
      <c r="K40" s="12" t="inlineStr">
        <is>
          <t>Do not mix classes casually.</t>
        </is>
      </c>
    </row>
    <row r="41">
      <c r="A41" s="14" t="inlineStr">
        <is>
          <t>ac-rf-06</t>
        </is>
      </c>
      <c r="B41" s="14" t="inlineStr">
        <is>
          <t>Vacuum pump oil</t>
        </is>
      </c>
      <c r="C41" s="14" t="inlineStr">
        <is>
          <t>VPOIL</t>
        </is>
      </c>
      <c r="D41" s="14" t="inlineStr">
        <is>
          <t>-</t>
        </is>
      </c>
      <c r="E41" s="14" t="inlineStr">
        <is>
          <t>qt</t>
        </is>
      </c>
      <c r="F41" s="15" t="n">
        <v>12</v>
      </c>
      <c r="G41" s="14" t="inlineStr">
        <is>
          <t>Refrigerant &amp; recovery</t>
        </is>
      </c>
      <c r="H41" s="14" t="inlineStr"/>
      <c r="I41" s="14" t="inlineStr"/>
      <c r="J41" s="14" t="inlineStr"/>
      <c r="K41" s="14" t="inlineStr"/>
    </row>
    <row r="42">
      <c r="A42" s="12" t="inlineStr">
        <is>
          <t>ac-rf-07</t>
        </is>
      </c>
      <c r="B42" s="12" t="inlineStr">
        <is>
          <t>Leak-detect fluid / electronic leak-detect supplies</t>
        </is>
      </c>
      <c r="C42" s="12" t="inlineStr">
        <is>
          <t>LEAK-SUP</t>
        </is>
      </c>
      <c r="D42" s="12" t="inlineStr">
        <is>
          <t>-</t>
        </is>
      </c>
      <c r="E42" s="12" t="inlineStr">
        <is>
          <t>ea</t>
        </is>
      </c>
      <c r="F42" s="13" t="n">
        <v>22</v>
      </c>
      <c r="G42" s="12" t="inlineStr">
        <is>
          <t>Refrigerant &amp; recovery</t>
        </is>
      </c>
      <c r="H42" s="12" t="inlineStr"/>
      <c r="I42" s="12" t="inlineStr"/>
      <c r="J42" s="12" t="inlineStr"/>
      <c r="K42" s="12" t="inlineStr"/>
    </row>
    <row r="43">
      <c r="A43" s="14" t="inlineStr">
        <is>
          <t>ac-rf-08</t>
        </is>
      </c>
      <c r="B43" s="14" t="inlineStr">
        <is>
          <t>Refrigerant disposal / reclaim fee allowance</t>
        </is>
      </c>
      <c r="C43" s="14" t="inlineStr">
        <is>
          <t>RECLAIM</t>
        </is>
      </c>
      <c r="D43" s="14" t="inlineStr">
        <is>
          <t>-</t>
        </is>
      </c>
      <c r="E43" s="14" t="inlineStr">
        <is>
          <t>allow</t>
        </is>
      </c>
      <c r="F43" s="15" t="n">
        <v>95</v>
      </c>
      <c r="G43" s="14" t="inlineStr">
        <is>
          <t>Refrigerant &amp; recovery</t>
        </is>
      </c>
      <c r="H43" s="14" t="inlineStr"/>
      <c r="I43" s="14" t="inlineStr"/>
      <c r="J43" s="14" t="inlineStr"/>
      <c r="K43" s="14" t="inlineStr"/>
    </row>
    <row r="44">
      <c r="A44" s="12" t="inlineStr">
        <is>
          <t>ac-a2l-01</t>
        </is>
      </c>
      <c r="B44" s="12" t="inlineStr">
        <is>
          <t>A2L refrigerant leak-detection sensor</t>
        </is>
      </c>
      <c r="C44" s="12" t="inlineStr">
        <is>
          <t>A2L-SENSOR</t>
        </is>
      </c>
      <c r="D44" s="12" t="inlineStr">
        <is>
          <t>-</t>
        </is>
      </c>
      <c r="E44" s="12" t="inlineStr">
        <is>
          <t>ea</t>
        </is>
      </c>
      <c r="F44" s="13" t="n">
        <v>175</v>
      </c>
      <c r="G44" s="12" t="inlineStr">
        <is>
          <t>A2L install extras</t>
        </is>
      </c>
      <c r="H44" s="12" t="inlineStr"/>
      <c r="I44" s="12" t="inlineStr"/>
      <c r="J44" s="12" t="inlineStr"/>
      <c r="K44" s="12" t="inlineStr">
        <is>
          <t>2024 IMC / ASHRAE 15-2024 estimating line. Lookup OEM/AHJ — does not auto-qty. Example estimating default — verify against shop/vendor quotes. | A2L,new-install</t>
        </is>
      </c>
    </row>
    <row r="45">
      <c r="A45" s="14" t="inlineStr">
        <is>
          <t>ac-a2l-02</t>
        </is>
      </c>
      <c r="B45" s="14" t="inlineStr">
        <is>
          <t>A2L mitigation / ventilation accessory kit</t>
        </is>
      </c>
      <c r="C45" s="14" t="inlineStr">
        <is>
          <t>A2L-MIT</t>
        </is>
      </c>
      <c r="D45" s="14" t="inlineStr">
        <is>
          <t>-</t>
        </is>
      </c>
      <c r="E45" s="14" t="inlineStr">
        <is>
          <t>ea</t>
        </is>
      </c>
      <c r="F45" s="15" t="n">
        <v>285</v>
      </c>
      <c r="G45" s="14" t="inlineStr">
        <is>
          <t>A2L install extras</t>
        </is>
      </c>
      <c r="H45" s="14" t="inlineStr"/>
      <c r="I45" s="14" t="inlineStr"/>
      <c r="J45" s="14" t="inlineStr"/>
      <c r="K45" s="14" t="inlineStr">
        <is>
          <t>A2L</t>
        </is>
      </c>
    </row>
    <row r="46">
      <c r="A46" s="12" t="inlineStr">
        <is>
          <t>ac-a2l-03</t>
        </is>
      </c>
      <c r="B46" s="12" t="inlineStr">
        <is>
          <t>A2L-rated recovery machine / gauge set allowance</t>
        </is>
      </c>
      <c r="C46" s="12" t="inlineStr">
        <is>
          <t>A2L-TOOLS</t>
        </is>
      </c>
      <c r="D46" s="12" t="inlineStr">
        <is>
          <t>-</t>
        </is>
      </c>
      <c r="E46" s="12" t="inlineStr">
        <is>
          <t>allow</t>
        </is>
      </c>
      <c r="F46" s="13" t="n">
        <v>350</v>
      </c>
      <c r="G46" s="12" t="inlineStr">
        <is>
          <t>A2L install extras</t>
        </is>
      </c>
      <c r="H46" s="12" t="inlineStr"/>
      <c r="I46" s="12" t="inlineStr"/>
      <c r="J46" s="12" t="inlineStr"/>
      <c r="K46" s="12" t="inlineStr">
        <is>
          <t>A2L</t>
        </is>
      </c>
    </row>
    <row r="47">
      <c r="A47" s="14" t="inlineStr">
        <is>
          <t>ac-a2l-04</t>
        </is>
      </c>
      <c r="B47" s="14" t="inlineStr">
        <is>
          <t>A2L vacuum / evacuation accessories rated for new gases</t>
        </is>
      </c>
      <c r="C47" s="14" t="inlineStr">
        <is>
          <t>A2L-VAC</t>
        </is>
      </c>
      <c r="D47" s="14" t="inlineStr">
        <is>
          <t>-</t>
        </is>
      </c>
      <c r="E47" s="14" t="inlineStr">
        <is>
          <t>ea</t>
        </is>
      </c>
      <c r="F47" s="15" t="n">
        <v>125</v>
      </c>
      <c r="G47" s="14" t="inlineStr">
        <is>
          <t>A2L install extras</t>
        </is>
      </c>
      <c r="H47" s="14" t="inlineStr"/>
      <c r="I47" s="14" t="inlineStr"/>
      <c r="J47" s="14" t="inlineStr"/>
      <c r="K47" s="14" t="inlineStr">
        <is>
          <t>A2L</t>
        </is>
      </c>
    </row>
    <row r="48">
      <c r="A48" s="12" t="inlineStr">
        <is>
          <t>ac-a2l-05</t>
        </is>
      </c>
      <c r="B48" s="12" t="inlineStr">
        <is>
          <t>Refrigerant detection control / alarm interface</t>
        </is>
      </c>
      <c r="C48" s="12" t="inlineStr">
        <is>
          <t>A2L-ALARM</t>
        </is>
      </c>
      <c r="D48" s="12" t="inlineStr">
        <is>
          <t>-</t>
        </is>
      </c>
      <c r="E48" s="12" t="inlineStr">
        <is>
          <t>ea</t>
        </is>
      </c>
      <c r="F48" s="13" t="n">
        <v>210</v>
      </c>
      <c r="G48" s="12" t="inlineStr">
        <is>
          <t>A2L install extras</t>
        </is>
      </c>
      <c r="H48" s="12" t="inlineStr"/>
      <c r="I48" s="12" t="inlineStr"/>
      <c r="J48" s="12" t="inlineStr"/>
      <c r="K48" s="12" t="inlineStr">
        <is>
          <t>A2L</t>
        </is>
      </c>
    </row>
    <row r="49">
      <c r="A49" s="14" t="inlineStr">
        <is>
          <t>ac-cd-01</t>
        </is>
      </c>
      <c r="B49" s="14" t="inlineStr">
        <is>
          <t>PVC condensate drain pipe (3/4" or 1")</t>
        </is>
      </c>
      <c r="C49" s="14" t="inlineStr">
        <is>
          <t>PVC-DRN</t>
        </is>
      </c>
      <c r="D49" s="14" t="inlineStr">
        <is>
          <t>-</t>
        </is>
      </c>
      <c r="E49" s="14" t="inlineStr">
        <is>
          <t>ft</t>
        </is>
      </c>
      <c r="F49" s="15" t="n">
        <v>1.85</v>
      </c>
      <c r="G49" s="14" t="inlineStr">
        <is>
          <t>Condensate &amp; drainage</t>
        </is>
      </c>
      <c r="H49" s="14" t="inlineStr"/>
      <c r="I49" s="14" t="inlineStr"/>
      <c r="J49" s="14" t="inlineStr"/>
      <c r="K49" s="14" t="inlineStr"/>
    </row>
    <row r="50">
      <c r="A50" s="12" t="inlineStr">
        <is>
          <t>ac-cd-02</t>
        </is>
      </c>
      <c r="B50" s="12" t="inlineStr">
        <is>
          <t>Condensate trap assembly</t>
        </is>
      </c>
      <c r="C50" s="12" t="inlineStr">
        <is>
          <t>TRAP</t>
        </is>
      </c>
      <c r="D50" s="12" t="inlineStr">
        <is>
          <t>-</t>
        </is>
      </c>
      <c r="E50" s="12" t="inlineStr">
        <is>
          <t>ea</t>
        </is>
      </c>
      <c r="F50" s="13" t="n">
        <v>28</v>
      </c>
      <c r="G50" s="12" t="inlineStr">
        <is>
          <t>Condensate &amp; drainage</t>
        </is>
      </c>
      <c r="H50" s="12" t="inlineStr"/>
      <c r="I50" s="12" t="inlineStr"/>
      <c r="J50" s="12" t="inlineStr"/>
      <c r="K50" s="12" t="inlineStr"/>
    </row>
    <row r="51">
      <c r="A51" s="14" t="inlineStr">
        <is>
          <t>ac-cd-03</t>
        </is>
      </c>
      <c r="B51" s="14" t="inlineStr">
        <is>
          <t>Condensate pump</t>
        </is>
      </c>
      <c r="C51" s="14" t="inlineStr">
        <is>
          <t>C-PUMP</t>
        </is>
      </c>
      <c r="D51" s="14" t="inlineStr">
        <is>
          <t>-</t>
        </is>
      </c>
      <c r="E51" s="14" t="inlineStr">
        <is>
          <t>ea</t>
        </is>
      </c>
      <c r="F51" s="15" t="n">
        <v>95</v>
      </c>
      <c r="G51" s="14" t="inlineStr">
        <is>
          <t>Condensate &amp; drainage</t>
        </is>
      </c>
      <c r="H51" s="14" t="inlineStr"/>
      <c r="I51" s="14" t="inlineStr"/>
      <c r="J51" s="14" t="inlineStr"/>
      <c r="K51" s="14" t="inlineStr"/>
    </row>
    <row r="52">
      <c r="A52" s="12" t="inlineStr">
        <is>
          <t>ac-cd-04</t>
        </is>
      </c>
      <c r="B52" s="12" t="inlineStr">
        <is>
          <t>Float switch (primary / aux)</t>
        </is>
      </c>
      <c r="C52" s="12" t="inlineStr">
        <is>
          <t>FLOAT</t>
        </is>
      </c>
      <c r="D52" s="12" t="inlineStr">
        <is>
          <t>-</t>
        </is>
      </c>
      <c r="E52" s="12" t="inlineStr">
        <is>
          <t>ea</t>
        </is>
      </c>
      <c r="F52" s="13" t="n">
        <v>42</v>
      </c>
      <c r="G52" s="12" t="inlineStr">
        <is>
          <t>Condensate &amp; drainage</t>
        </is>
      </c>
      <c r="H52" s="12" t="inlineStr"/>
      <c r="I52" s="12" t="inlineStr"/>
      <c r="J52" s="12" t="inlineStr"/>
      <c r="K52" s="12" t="inlineStr"/>
    </row>
    <row r="53">
      <c r="A53" s="14" t="inlineStr">
        <is>
          <t>ac-cd-05</t>
        </is>
      </c>
      <c r="B53" s="14" t="inlineStr">
        <is>
          <t>Secondary / emergency drain pan</t>
        </is>
      </c>
      <c r="C53" s="14" t="inlineStr">
        <is>
          <t>SEC-PAN</t>
        </is>
      </c>
      <c r="D53" s="14" t="inlineStr">
        <is>
          <t>-</t>
        </is>
      </c>
      <c r="E53" s="14" t="inlineStr">
        <is>
          <t>ea</t>
        </is>
      </c>
      <c r="F53" s="15" t="n">
        <v>65</v>
      </c>
      <c r="G53" s="14" t="inlineStr">
        <is>
          <t>Condensate &amp; drainage</t>
        </is>
      </c>
      <c r="H53" s="14" t="inlineStr"/>
      <c r="I53" s="14" t="inlineStr"/>
      <c r="J53" s="14" t="inlineStr"/>
      <c r="K53" s="14" t="inlineStr"/>
    </row>
    <row r="54">
      <c r="A54" s="12" t="inlineStr">
        <is>
          <t>ac-cd-06</t>
        </is>
      </c>
      <c r="B54" s="12" t="inlineStr">
        <is>
          <t>Condensate pan treatment tabs</t>
        </is>
      </c>
      <c r="C54" s="12" t="inlineStr">
        <is>
          <t>PAN-TAB</t>
        </is>
      </c>
      <c r="D54" s="12" t="inlineStr">
        <is>
          <t>-</t>
        </is>
      </c>
      <c r="E54" s="12" t="inlineStr">
        <is>
          <t>pk</t>
        </is>
      </c>
      <c r="F54" s="13" t="n">
        <v>12</v>
      </c>
      <c r="G54" s="12" t="inlineStr">
        <is>
          <t>Condensate &amp; drainage</t>
        </is>
      </c>
      <c r="H54" s="12" t="inlineStr"/>
      <c r="I54" s="12" t="inlineStr"/>
      <c r="J54" s="12" t="inlineStr"/>
      <c r="K54" s="12" t="inlineStr"/>
    </row>
    <row r="55">
      <c r="A55" s="14" t="inlineStr">
        <is>
          <t>ac-cd-07</t>
        </is>
      </c>
      <c r="B55" s="14" t="inlineStr">
        <is>
          <t>UV-resistant outdoor drain tubing</t>
        </is>
      </c>
      <c r="C55" s="14" t="inlineStr">
        <is>
          <t>DRN-UV</t>
        </is>
      </c>
      <c r="D55" s="14" t="inlineStr">
        <is>
          <t>-</t>
        </is>
      </c>
      <c r="E55" s="14" t="inlineStr">
        <is>
          <t>ft</t>
        </is>
      </c>
      <c r="F55" s="15" t="n">
        <v>1.45</v>
      </c>
      <c r="G55" s="14" t="inlineStr">
        <is>
          <t>Condensate &amp; drainage</t>
        </is>
      </c>
      <c r="H55" s="14" t="inlineStr"/>
      <c r="I55" s="14" t="inlineStr"/>
      <c r="J55" s="14" t="inlineStr"/>
      <c r="K55" s="14" t="inlineStr"/>
    </row>
    <row r="56">
      <c r="A56" s="12" t="inlineStr">
        <is>
          <t>ac-du-01</t>
        </is>
      </c>
      <c r="B56" s="12" t="inlineStr">
        <is>
          <t>Flexible duct, insulated (R-value per job/spec)</t>
        </is>
      </c>
      <c r="C56" s="12" t="inlineStr">
        <is>
          <t>FLEX</t>
        </is>
      </c>
      <c r="D56" s="12" t="inlineStr">
        <is>
          <t>-</t>
        </is>
      </c>
      <c r="E56" s="12" t="inlineStr">
        <is>
          <t>ft</t>
        </is>
      </c>
      <c r="F56" s="13" t="n">
        <v>4.25</v>
      </c>
      <c r="G56" s="12" t="inlineStr">
        <is>
          <t>Ductwork &amp; distribution</t>
        </is>
      </c>
      <c r="H56" s="12" t="inlineStr"/>
      <c r="I56" s="12" t="inlineStr"/>
      <c r="J56" s="12" t="inlineStr"/>
      <c r="K56" s="12" t="inlineStr">
        <is>
          <t>TX energy: statewide SECO still 2015-era; cities may be stricter — verify AHJ.</t>
        </is>
      </c>
    </row>
    <row r="57">
      <c r="A57" s="14" t="inlineStr">
        <is>
          <t>ac-du-02</t>
        </is>
      </c>
      <c r="B57" s="14" t="inlineStr">
        <is>
          <t>Sheet-metal rectangular duct</t>
        </is>
      </c>
      <c r="C57" s="14" t="inlineStr">
        <is>
          <t>SM-RECT</t>
        </is>
      </c>
      <c r="D57" s="14" t="inlineStr">
        <is>
          <t>-</t>
        </is>
      </c>
      <c r="E57" s="14" t="inlineStr">
        <is>
          <t>ft</t>
        </is>
      </c>
      <c r="F57" s="15" t="n">
        <v>12.5</v>
      </c>
      <c r="G57" s="14" t="inlineStr">
        <is>
          <t>Ductwork &amp; distribution</t>
        </is>
      </c>
      <c r="H57" s="14" t="inlineStr"/>
      <c r="I57" s="14" t="inlineStr"/>
      <c r="J57" s="14" t="inlineStr"/>
      <c r="K57" s="14" t="inlineStr"/>
    </row>
    <row r="58">
      <c r="A58" s="12" t="inlineStr">
        <is>
          <t>ac-du-03</t>
        </is>
      </c>
      <c r="B58" s="12" t="inlineStr">
        <is>
          <t>Round metal pipe / takeoffs</t>
        </is>
      </c>
      <c r="C58" s="12" t="inlineStr">
        <is>
          <t>SM-RND</t>
        </is>
      </c>
      <c r="D58" s="12" t="inlineStr">
        <is>
          <t>-</t>
        </is>
      </c>
      <c r="E58" s="12" t="inlineStr">
        <is>
          <t>ft</t>
        </is>
      </c>
      <c r="F58" s="13" t="n">
        <v>8.75</v>
      </c>
      <c r="G58" s="12" t="inlineStr">
        <is>
          <t>Ductwork &amp; distribution</t>
        </is>
      </c>
      <c r="H58" s="12" t="inlineStr"/>
      <c r="I58" s="12" t="inlineStr"/>
      <c r="J58" s="12" t="inlineStr"/>
      <c r="K58" s="12" t="inlineStr"/>
    </row>
    <row r="59">
      <c r="A59" s="14" t="inlineStr">
        <is>
          <t>ac-du-04</t>
        </is>
      </c>
      <c r="B59" s="14" t="inlineStr">
        <is>
          <t>Supply / return plenum</t>
        </is>
      </c>
      <c r="C59" s="14" t="inlineStr">
        <is>
          <t>PLENUM</t>
        </is>
      </c>
      <c r="D59" s="14" t="inlineStr">
        <is>
          <t>-</t>
        </is>
      </c>
      <c r="E59" s="14" t="inlineStr">
        <is>
          <t>ea</t>
        </is>
      </c>
      <c r="F59" s="15" t="n">
        <v>185</v>
      </c>
      <c r="G59" s="14" t="inlineStr">
        <is>
          <t>Ductwork &amp; distribution</t>
        </is>
      </c>
      <c r="H59" s="14" t="inlineStr"/>
      <c r="I59" s="14" t="inlineStr"/>
      <c r="J59" s="14" t="inlineStr"/>
      <c r="K59" s="14" t="inlineStr"/>
    </row>
    <row r="60">
      <c r="A60" s="12" t="inlineStr">
        <is>
          <t>ac-du-05</t>
        </is>
      </c>
      <c r="B60" s="12" t="inlineStr">
        <is>
          <t>Register / grille</t>
        </is>
      </c>
      <c r="C60" s="12" t="inlineStr">
        <is>
          <t>REG</t>
        </is>
      </c>
      <c r="D60" s="12" t="inlineStr">
        <is>
          <t>-</t>
        </is>
      </c>
      <c r="E60" s="12" t="inlineStr">
        <is>
          <t>ea</t>
        </is>
      </c>
      <c r="F60" s="13" t="n">
        <v>32</v>
      </c>
      <c r="G60" s="12" t="inlineStr">
        <is>
          <t>Ductwork &amp; distribution</t>
        </is>
      </c>
      <c r="H60" s="12" t="inlineStr"/>
      <c r="I60" s="12" t="inlineStr"/>
      <c r="J60" s="12" t="inlineStr"/>
      <c r="K60" s="12" t="inlineStr"/>
    </row>
    <row r="61">
      <c r="A61" s="14" t="inlineStr">
        <is>
          <t>ac-du-06</t>
        </is>
      </c>
      <c r="B61" s="14" t="inlineStr">
        <is>
          <t>Manual damper</t>
        </is>
      </c>
      <c r="C61" s="14" t="inlineStr">
        <is>
          <t>DAMP</t>
        </is>
      </c>
      <c r="D61" s="14" t="inlineStr">
        <is>
          <t>-</t>
        </is>
      </c>
      <c r="E61" s="14" t="inlineStr">
        <is>
          <t>ea</t>
        </is>
      </c>
      <c r="F61" s="15" t="n">
        <v>28</v>
      </c>
      <c r="G61" s="14" t="inlineStr">
        <is>
          <t>Ductwork &amp; distribution</t>
        </is>
      </c>
      <c r="H61" s="14" t="inlineStr"/>
      <c r="I61" s="14" t="inlineStr"/>
      <c r="J61" s="14" t="inlineStr"/>
      <c r="K61" s="14" t="inlineStr"/>
    </row>
    <row r="62">
      <c r="A62" s="12" t="inlineStr">
        <is>
          <t>ac-du-07</t>
        </is>
      </c>
      <c r="B62" s="12" t="inlineStr">
        <is>
          <t>Starting collar / boot</t>
        </is>
      </c>
      <c r="C62" s="12" t="inlineStr">
        <is>
          <t>BOOT</t>
        </is>
      </c>
      <c r="D62" s="12" t="inlineStr">
        <is>
          <t>-</t>
        </is>
      </c>
      <c r="E62" s="12" t="inlineStr">
        <is>
          <t>ea</t>
        </is>
      </c>
      <c r="F62" s="13" t="n">
        <v>18</v>
      </c>
      <c r="G62" s="12" t="inlineStr">
        <is>
          <t>Ductwork &amp; distribution</t>
        </is>
      </c>
      <c r="H62" s="12" t="inlineStr"/>
      <c r="I62" s="12" t="inlineStr"/>
      <c r="J62" s="12" t="inlineStr"/>
      <c r="K62" s="12" t="inlineStr"/>
    </row>
    <row r="63">
      <c r="A63" s="14" t="inlineStr">
        <is>
          <t>ac-du-08</t>
        </is>
      </c>
      <c r="B63" s="14" t="inlineStr">
        <is>
          <t>Mastic (brushable)</t>
        </is>
      </c>
      <c r="C63" s="14" t="inlineStr">
        <is>
          <t>MASTIC</t>
        </is>
      </c>
      <c r="D63" s="14" t="inlineStr">
        <is>
          <t>-</t>
        </is>
      </c>
      <c r="E63" s="14" t="inlineStr">
        <is>
          <t>gal</t>
        </is>
      </c>
      <c r="F63" s="15" t="n">
        <v>42</v>
      </c>
      <c r="G63" s="14" t="inlineStr">
        <is>
          <t>Ductwork &amp; distribution</t>
        </is>
      </c>
      <c r="H63" s="14" t="inlineStr"/>
      <c r="I63" s="14" t="inlineStr"/>
      <c r="J63" s="14" t="inlineStr"/>
      <c r="K63" s="14" t="inlineStr"/>
    </row>
    <row r="64">
      <c r="A64" s="12" t="inlineStr">
        <is>
          <t>ac-du-09</t>
        </is>
      </c>
      <c r="B64" s="12" t="inlineStr">
        <is>
          <t>UL-listed foil tape</t>
        </is>
      </c>
      <c r="C64" s="12" t="inlineStr">
        <is>
          <t>FOIL</t>
        </is>
      </c>
      <c r="D64" s="12" t="inlineStr">
        <is>
          <t>-</t>
        </is>
      </c>
      <c r="E64" s="12" t="inlineStr">
        <is>
          <t>roll</t>
        </is>
      </c>
      <c r="F64" s="13" t="n">
        <v>14</v>
      </c>
      <c r="G64" s="12" t="inlineStr">
        <is>
          <t>Ductwork &amp; distribution</t>
        </is>
      </c>
      <c r="H64" s="12" t="inlineStr"/>
      <c r="I64" s="12" t="inlineStr"/>
      <c r="J64" s="12" t="inlineStr"/>
      <c r="K64" s="12" t="inlineStr"/>
    </row>
    <row r="65">
      <c r="A65" s="14" t="inlineStr">
        <is>
          <t>ac-du-10</t>
        </is>
      </c>
      <c r="B65" s="14" t="inlineStr">
        <is>
          <t>Duct board</t>
        </is>
      </c>
      <c r="C65" s="14" t="inlineStr">
        <is>
          <t>DBOARD</t>
        </is>
      </c>
      <c r="D65" s="14" t="inlineStr">
        <is>
          <t>-</t>
        </is>
      </c>
      <c r="E65" s="14" t="inlineStr">
        <is>
          <t>sheet</t>
        </is>
      </c>
      <c r="F65" s="15" t="n">
        <v>55</v>
      </c>
      <c r="G65" s="14" t="inlineStr">
        <is>
          <t>Ductwork &amp; distribution</t>
        </is>
      </c>
      <c r="H65" s="14" t="inlineStr"/>
      <c r="I65" s="14" t="inlineStr"/>
      <c r="J65" s="14" t="inlineStr"/>
      <c r="K65" s="14" t="inlineStr"/>
    </row>
    <row r="66">
      <c r="A66" s="12" t="inlineStr">
        <is>
          <t>ac-du-11</t>
        </is>
      </c>
      <c r="B66" s="12" t="inlineStr">
        <is>
          <t>External duct wrap insulation</t>
        </is>
      </c>
      <c r="C66" s="12" t="inlineStr">
        <is>
          <t>DWRAP</t>
        </is>
      </c>
      <c r="D66" s="12" t="inlineStr">
        <is>
          <t>-</t>
        </is>
      </c>
      <c r="E66" s="12" t="inlineStr">
        <is>
          <t>ft2</t>
        </is>
      </c>
      <c r="F66" s="13" t="n">
        <v>1.85</v>
      </c>
      <c r="G66" s="12" t="inlineStr">
        <is>
          <t>Ductwork &amp; distribution</t>
        </is>
      </c>
      <c r="H66" s="12" t="inlineStr"/>
      <c r="I66" s="12" t="inlineStr"/>
      <c r="J66" s="12" t="inlineStr"/>
      <c r="K66" s="12" t="inlineStr"/>
    </row>
    <row r="67">
      <c r="A67" s="14" t="inlineStr">
        <is>
          <t>ac-du-12</t>
        </is>
      </c>
      <c r="B67" s="14" t="inlineStr">
        <is>
          <t>Return air filter grille</t>
        </is>
      </c>
      <c r="C67" s="14" t="inlineStr">
        <is>
          <t>RA-GRILLE</t>
        </is>
      </c>
      <c r="D67" s="14" t="inlineStr">
        <is>
          <t>-</t>
        </is>
      </c>
      <c r="E67" s="14" t="inlineStr">
        <is>
          <t>ea</t>
        </is>
      </c>
      <c r="F67" s="15" t="n">
        <v>48</v>
      </c>
      <c r="G67" s="14" t="inlineStr">
        <is>
          <t>Ductwork &amp; distribution</t>
        </is>
      </c>
      <c r="H67" s="14" t="inlineStr"/>
      <c r="I67" s="14" t="inlineStr"/>
      <c r="J67" s="14" t="inlineStr"/>
      <c r="K67" s="14" t="inlineStr"/>
    </row>
    <row r="68">
      <c r="A68" s="12" t="inlineStr">
        <is>
          <t>ac-ct-01</t>
        </is>
      </c>
      <c r="B68" s="12" t="inlineStr">
        <is>
          <t>Non-programmable thermostat</t>
        </is>
      </c>
      <c r="C68" s="12" t="inlineStr">
        <is>
          <t>TSTAT-NP</t>
        </is>
      </c>
      <c r="D68" s="12" t="inlineStr">
        <is>
          <t>-</t>
        </is>
      </c>
      <c r="E68" s="12" t="inlineStr">
        <is>
          <t>ea</t>
        </is>
      </c>
      <c r="F68" s="13" t="n">
        <v>45</v>
      </c>
      <c r="G68" s="12" t="inlineStr">
        <is>
          <t>Controls &amp; thermostats</t>
        </is>
      </c>
      <c r="H68" s="12" t="inlineStr"/>
      <c r="I68" s="12" t="inlineStr"/>
      <c r="J68" s="12" t="inlineStr"/>
      <c r="K68" s="12" t="inlineStr"/>
    </row>
    <row r="69">
      <c r="A69" s="14" t="inlineStr">
        <is>
          <t>ac-ct-02</t>
        </is>
      </c>
      <c r="B69" s="14" t="inlineStr">
        <is>
          <t>Programmable thermostat</t>
        </is>
      </c>
      <c r="C69" s="14" t="inlineStr">
        <is>
          <t>TSTAT-P</t>
        </is>
      </c>
      <c r="D69" s="14" t="inlineStr">
        <is>
          <t>-</t>
        </is>
      </c>
      <c r="E69" s="14" t="inlineStr">
        <is>
          <t>ea</t>
        </is>
      </c>
      <c r="F69" s="15" t="n">
        <v>95</v>
      </c>
      <c r="G69" s="14" t="inlineStr">
        <is>
          <t>Controls &amp; thermostats</t>
        </is>
      </c>
      <c r="H69" s="14" t="inlineStr"/>
      <c r="I69" s="14" t="inlineStr"/>
      <c r="J69" s="14" t="inlineStr"/>
      <c r="K69" s="14" t="inlineStr"/>
    </row>
    <row r="70">
      <c r="A70" s="12" t="inlineStr">
        <is>
          <t>ac-ct-03</t>
        </is>
      </c>
      <c r="B70" s="12" t="inlineStr">
        <is>
          <t>Wi-Fi / connected thermostat</t>
        </is>
      </c>
      <c r="C70" s="12" t="inlineStr">
        <is>
          <t>TSTAT-WIFI</t>
        </is>
      </c>
      <c r="D70" s="12" t="inlineStr">
        <is>
          <t>-</t>
        </is>
      </c>
      <c r="E70" s="12" t="inlineStr">
        <is>
          <t>ea</t>
        </is>
      </c>
      <c r="F70" s="13" t="n">
        <v>220</v>
      </c>
      <c r="G70" s="12" t="inlineStr">
        <is>
          <t>Controls &amp; thermostats</t>
        </is>
      </c>
      <c r="H70" s="12" t="inlineStr"/>
      <c r="I70" s="12" t="inlineStr"/>
      <c r="J70" s="12" t="inlineStr"/>
      <c r="K70" s="12" t="inlineStr"/>
    </row>
    <row r="71">
      <c r="A71" s="14" t="inlineStr">
        <is>
          <t>ac-ct-04</t>
        </is>
      </c>
      <c r="B71" s="14" t="inlineStr">
        <is>
          <t>Heat pump thermostat (O/B reversing)</t>
        </is>
      </c>
      <c r="C71" s="14" t="inlineStr">
        <is>
          <t>TSTAT-HP</t>
        </is>
      </c>
      <c r="D71" s="14" t="inlineStr">
        <is>
          <t>-</t>
        </is>
      </c>
      <c r="E71" s="14" t="inlineStr">
        <is>
          <t>ea</t>
        </is>
      </c>
      <c r="F71" s="15" t="n">
        <v>145</v>
      </c>
      <c r="G71" s="14" t="inlineStr">
        <is>
          <t>Controls &amp; thermostats</t>
        </is>
      </c>
      <c r="H71" s="14" t="inlineStr"/>
      <c r="I71" s="14" t="inlineStr"/>
      <c r="J71" s="14" t="inlineStr"/>
      <c r="K71" s="14" t="inlineStr"/>
    </row>
    <row r="72">
      <c r="A72" s="12" t="inlineStr">
        <is>
          <t>ac-ct-05</t>
        </is>
      </c>
      <c r="B72" s="12" t="inlineStr">
        <is>
          <t>Zone control panel (2–3 zone)</t>
        </is>
      </c>
      <c r="C72" s="12" t="inlineStr">
        <is>
          <t>ZONE-PANEL</t>
        </is>
      </c>
      <c r="D72" s="12" t="inlineStr">
        <is>
          <t>-</t>
        </is>
      </c>
      <c r="E72" s="12" t="inlineStr">
        <is>
          <t>ea</t>
        </is>
      </c>
      <c r="F72" s="13" t="n">
        <v>485</v>
      </c>
      <c r="G72" s="12" t="inlineStr">
        <is>
          <t>Controls &amp; thermostats</t>
        </is>
      </c>
      <c r="H72" s="12" t="inlineStr"/>
      <c r="I72" s="12" t="inlineStr"/>
      <c r="J72" s="12" t="inlineStr"/>
      <c r="K72" s="12" t="inlineStr">
        <is>
          <t>Design by others — set qty and price as scoped.</t>
        </is>
      </c>
    </row>
    <row r="73">
      <c r="A73" s="14" t="inlineStr">
        <is>
          <t>ac-ct-06</t>
        </is>
      </c>
      <c r="B73" s="14" t="inlineStr">
        <is>
          <t>Wireless outdoor sensor</t>
        </is>
      </c>
      <c r="C73" s="14" t="inlineStr">
        <is>
          <t>OD-SENS</t>
        </is>
      </c>
      <c r="D73" s="14" t="inlineStr">
        <is>
          <t>-</t>
        </is>
      </c>
      <c r="E73" s="14" t="inlineStr">
        <is>
          <t>ea</t>
        </is>
      </c>
      <c r="F73" s="15" t="n">
        <v>65</v>
      </c>
      <c r="G73" s="14" t="inlineStr">
        <is>
          <t>Controls &amp; thermostats</t>
        </is>
      </c>
      <c r="H73" s="14" t="inlineStr"/>
      <c r="I73" s="14" t="inlineStr"/>
      <c r="J73" s="14" t="inlineStr"/>
      <c r="K73" s="14" t="inlineStr"/>
    </row>
    <row r="74">
      <c r="A74" s="12" t="inlineStr">
        <is>
          <t>ac-ct-07</t>
        </is>
      </c>
      <c r="B74" s="12" t="inlineStr">
        <is>
          <t>Equipment interface / communicating control</t>
        </is>
      </c>
      <c r="C74" s="12" t="inlineStr">
        <is>
          <t>OEM-IF</t>
        </is>
      </c>
      <c r="D74" s="12" t="inlineStr">
        <is>
          <t>-</t>
        </is>
      </c>
      <c r="E74" s="12" t="inlineStr">
        <is>
          <t>ea</t>
        </is>
      </c>
      <c r="F74" s="13" t="n">
        <v>175</v>
      </c>
      <c r="G74" s="12" t="inlineStr">
        <is>
          <t>Controls &amp; thermostats</t>
        </is>
      </c>
      <c r="H74" s="12" t="inlineStr"/>
      <c r="I74" s="12" t="inlineStr"/>
      <c r="J74" s="12" t="inlineStr"/>
      <c r="K74" s="12" t="inlineStr"/>
    </row>
    <row r="75">
      <c r="A75" s="14" t="inlineStr">
        <is>
          <t>ac-ct-08</t>
        </is>
      </c>
      <c r="B75" s="14" t="inlineStr">
        <is>
          <t>Low-voltage thermostat wire (18/5, 18/8)</t>
        </is>
      </c>
      <c r="C75" s="14" t="inlineStr">
        <is>
          <t>TSTAT-WIRE</t>
        </is>
      </c>
      <c r="D75" s="14" t="inlineStr">
        <is>
          <t>-</t>
        </is>
      </c>
      <c r="E75" s="14" t="inlineStr">
        <is>
          <t>ft</t>
        </is>
      </c>
      <c r="F75" s="15" t="n">
        <v>0.45</v>
      </c>
      <c r="G75" s="14" t="inlineStr">
        <is>
          <t>Controls &amp; thermostats</t>
        </is>
      </c>
      <c r="H75" s="14" t="inlineStr"/>
      <c r="I75" s="14" t="inlineStr"/>
      <c r="J75" s="14" t="inlineStr"/>
      <c r="K75" s="14" t="inlineStr"/>
    </row>
    <row r="76">
      <c r="A76" s="12" t="inlineStr">
        <is>
          <t>ac-ct-09</t>
        </is>
      </c>
      <c r="B76" s="12" t="inlineStr">
        <is>
          <t>Condensate overflow switch interlock wiring kit</t>
        </is>
      </c>
      <c r="C76" s="12" t="inlineStr">
        <is>
          <t>OF-WIRE</t>
        </is>
      </c>
      <c r="D76" s="12" t="inlineStr">
        <is>
          <t>-</t>
        </is>
      </c>
      <c r="E76" s="12" t="inlineStr">
        <is>
          <t>ea</t>
        </is>
      </c>
      <c r="F76" s="13" t="n">
        <v>28</v>
      </c>
      <c r="G76" s="12" t="inlineStr">
        <is>
          <t>Controls &amp; thermostats</t>
        </is>
      </c>
      <c r="H76" s="12" t="inlineStr"/>
      <c r="I76" s="12" t="inlineStr"/>
      <c r="J76" s="12" t="inlineStr"/>
      <c r="K76" s="12" t="inlineStr"/>
    </row>
    <row r="77">
      <c r="A77" s="14" t="inlineStr">
        <is>
          <t>ac-el-01</t>
        </is>
      </c>
      <c r="B77" s="14" t="inlineStr">
        <is>
          <t>Fused / non-fused AC disconnect</t>
        </is>
      </c>
      <c r="C77" s="14" t="inlineStr">
        <is>
          <t>DISC</t>
        </is>
      </c>
      <c r="D77" s="14" t="inlineStr">
        <is>
          <t>-</t>
        </is>
      </c>
      <c r="E77" s="14" t="inlineStr">
        <is>
          <t>ea</t>
        </is>
      </c>
      <c r="F77" s="15" t="n">
        <v>55</v>
      </c>
      <c r="G77" s="14" t="inlineStr">
        <is>
          <t>Electrical accessories (HVAC)</t>
        </is>
      </c>
      <c r="H77" s="14" t="inlineStr"/>
      <c r="I77" s="14" t="inlineStr"/>
      <c r="J77" s="14" t="inlineStr"/>
      <c r="K77" s="14" t="inlineStr">
        <is>
          <t>Catalog only — ampacity by nameplate + electrician/AHJ. TX 2026 NEC outdoor HVAC GFCI exception extended — do not assume GFCI disconnect mandated for listed HVAC.</t>
        </is>
      </c>
    </row>
    <row r="78">
      <c r="A78" s="12" t="inlineStr">
        <is>
          <t>ac-el-02</t>
        </is>
      </c>
      <c r="B78" s="12" t="inlineStr">
        <is>
          <t>Liquid-tight whip / conduit whip</t>
        </is>
      </c>
      <c r="C78" s="12" t="inlineStr">
        <is>
          <t>WHIP</t>
        </is>
      </c>
      <c r="D78" s="12" t="inlineStr">
        <is>
          <t>-</t>
        </is>
      </c>
      <c r="E78" s="12" t="inlineStr">
        <is>
          <t>ea</t>
        </is>
      </c>
      <c r="F78" s="13" t="n">
        <v>48</v>
      </c>
      <c r="G78" s="12" t="inlineStr">
        <is>
          <t>Electrical accessories (HVAC)</t>
        </is>
      </c>
      <c r="H78" s="12" t="inlineStr"/>
      <c r="I78" s="12" t="inlineStr"/>
      <c r="J78" s="12" t="inlineStr"/>
      <c r="K78" s="12" t="inlineStr"/>
    </row>
    <row r="79">
      <c r="A79" s="14" t="inlineStr">
        <is>
          <t>ac-el-03</t>
        </is>
      </c>
      <c r="B79" s="14" t="inlineStr">
        <is>
          <t>Whips connectors / fittings kit</t>
        </is>
      </c>
      <c r="C79" s="14" t="inlineStr">
        <is>
          <t>WHIP-KIT</t>
        </is>
      </c>
      <c r="D79" s="14" t="inlineStr">
        <is>
          <t>-</t>
        </is>
      </c>
      <c r="E79" s="14" t="inlineStr">
        <is>
          <t>ea</t>
        </is>
      </c>
      <c r="F79" s="15" t="n">
        <v>22</v>
      </c>
      <c r="G79" s="14" t="inlineStr">
        <is>
          <t>Electrical accessories (HVAC)</t>
        </is>
      </c>
      <c r="H79" s="14" t="inlineStr"/>
      <c r="I79" s="14" t="inlineStr"/>
      <c r="J79" s="14" t="inlineStr"/>
      <c r="K79" s="14" t="inlineStr"/>
    </row>
    <row r="80">
      <c r="A80" s="12" t="inlineStr">
        <is>
          <t>ac-el-04</t>
        </is>
      </c>
      <c r="B80" s="12" t="inlineStr">
        <is>
          <t>Surge protective device (equipment-level)</t>
        </is>
      </c>
      <c r="C80" s="12" t="inlineStr">
        <is>
          <t>SPD</t>
        </is>
      </c>
      <c r="D80" s="12" t="inlineStr">
        <is>
          <t>-</t>
        </is>
      </c>
      <c r="E80" s="12" t="inlineStr">
        <is>
          <t>ea</t>
        </is>
      </c>
      <c r="F80" s="13" t="n">
        <v>95</v>
      </c>
      <c r="G80" s="12" t="inlineStr">
        <is>
          <t>Electrical accessories (HVAC)</t>
        </is>
      </c>
      <c r="H80" s="12" t="inlineStr"/>
      <c r="I80" s="12" t="inlineStr"/>
      <c r="J80" s="12" t="inlineStr"/>
      <c r="K80" s="12" t="inlineStr"/>
    </row>
    <row r="81">
      <c r="A81" s="14" t="inlineStr">
        <is>
          <t>ac-el-05</t>
        </is>
      </c>
      <c r="B81" s="14" t="inlineStr">
        <is>
          <t>Condenser electrical whip conductors (by size)</t>
        </is>
      </c>
      <c r="C81" s="14" t="inlineStr">
        <is>
          <t>WHIP-CU</t>
        </is>
      </c>
      <c r="D81" s="14" t="inlineStr">
        <is>
          <t>-</t>
        </is>
      </c>
      <c r="E81" s="14" t="inlineStr">
        <is>
          <t>ea</t>
        </is>
      </c>
      <c r="F81" s="15" t="n">
        <v>65</v>
      </c>
      <c r="G81" s="14" t="inlineStr">
        <is>
          <t>Electrical accessories (HVAC)</t>
        </is>
      </c>
      <c r="H81" s="14" t="inlineStr"/>
      <c r="I81" s="14" t="inlineStr"/>
      <c r="J81" s="14" t="inlineStr"/>
      <c r="K81" s="14" t="inlineStr">
        <is>
          <t>Not a wire-size calculator.</t>
        </is>
      </c>
    </row>
    <row r="82">
      <c r="A82" s="12" t="inlineStr">
        <is>
          <t>ac-pd-01</t>
        </is>
      </c>
      <c r="B82" s="12" t="inlineStr">
        <is>
          <t>Precast condenser pad</t>
        </is>
      </c>
      <c r="C82" s="12" t="inlineStr">
        <is>
          <t>PAD-PRE</t>
        </is>
      </c>
      <c r="D82" s="12" t="inlineStr">
        <is>
          <t>-</t>
        </is>
      </c>
      <c r="E82" s="12" t="inlineStr">
        <is>
          <t>ea</t>
        </is>
      </c>
      <c r="F82" s="13" t="n">
        <v>75</v>
      </c>
      <c r="G82" s="12" t="inlineStr">
        <is>
          <t>Pads, stands &amp; mounts</t>
        </is>
      </c>
      <c r="H82" s="12" t="inlineStr"/>
      <c r="I82" s="12" t="inlineStr"/>
      <c r="J82" s="12" t="inlineStr"/>
      <c r="K82" s="12" t="inlineStr"/>
    </row>
    <row r="83">
      <c r="A83" s="14" t="inlineStr">
        <is>
          <t>ac-pd-02</t>
        </is>
      </c>
      <c r="B83" s="14" t="inlineStr">
        <is>
          <t>Plastic / composite condenser pad</t>
        </is>
      </c>
      <c r="C83" s="14" t="inlineStr">
        <is>
          <t>PAD-COMP</t>
        </is>
      </c>
      <c r="D83" s="14" t="inlineStr">
        <is>
          <t>-</t>
        </is>
      </c>
      <c r="E83" s="14" t="inlineStr">
        <is>
          <t>ea</t>
        </is>
      </c>
      <c r="F83" s="15" t="n">
        <v>89</v>
      </c>
      <c r="G83" s="14" t="inlineStr">
        <is>
          <t>Pads, stands &amp; mounts</t>
        </is>
      </c>
      <c r="H83" s="14" t="inlineStr"/>
      <c r="I83" s="14" t="inlineStr"/>
      <c r="J83" s="14" t="inlineStr"/>
      <c r="K83" s="14" t="inlineStr"/>
    </row>
    <row r="84">
      <c r="A84" s="12" t="inlineStr">
        <is>
          <t>ac-pd-03</t>
        </is>
      </c>
      <c r="B84" s="12" t="inlineStr">
        <is>
          <t>Condenser wall bracket / stand</t>
        </is>
      </c>
      <c r="C84" s="12" t="inlineStr">
        <is>
          <t>WALL-BR</t>
        </is>
      </c>
      <c r="D84" s="12" t="inlineStr">
        <is>
          <t>-</t>
        </is>
      </c>
      <c r="E84" s="12" t="inlineStr">
        <is>
          <t>ea</t>
        </is>
      </c>
      <c r="F84" s="13" t="n">
        <v>145</v>
      </c>
      <c r="G84" s="12" t="inlineStr">
        <is>
          <t>Pads, stands &amp; mounts</t>
        </is>
      </c>
      <c r="H84" s="12" t="inlineStr"/>
      <c r="I84" s="12" t="inlineStr"/>
      <c r="J84" s="12" t="inlineStr"/>
      <c r="K84" s="12" t="inlineStr"/>
    </row>
    <row r="85">
      <c r="A85" s="14" t="inlineStr">
        <is>
          <t>ac-pd-04</t>
        </is>
      </c>
      <c r="B85" s="14" t="inlineStr">
        <is>
          <t>Roof equipment rail / stand</t>
        </is>
      </c>
      <c r="C85" s="14" t="inlineStr">
        <is>
          <t>ROOF-STAND</t>
        </is>
      </c>
      <c r="D85" s="14" t="inlineStr">
        <is>
          <t>-</t>
        </is>
      </c>
      <c r="E85" s="14" t="inlineStr">
        <is>
          <t>ea</t>
        </is>
      </c>
      <c r="F85" s="15" t="n">
        <v>325</v>
      </c>
      <c r="G85" s="14" t="inlineStr">
        <is>
          <t>Pads, stands &amp; mounts</t>
        </is>
      </c>
      <c r="H85" s="14" t="inlineStr"/>
      <c r="I85" s="14" t="inlineStr"/>
      <c r="J85" s="14" t="inlineStr"/>
      <c r="K85" s="14" t="inlineStr"/>
    </row>
    <row r="86">
      <c r="A86" s="12" t="inlineStr">
        <is>
          <t>ac-iq-01</t>
        </is>
      </c>
      <c r="B86" s="12" t="inlineStr">
        <is>
          <t>MERV pleated filter (nominal size)</t>
        </is>
      </c>
      <c r="C86" s="12" t="inlineStr">
        <is>
          <t>MERV</t>
        </is>
      </c>
      <c r="D86" s="12" t="inlineStr">
        <is>
          <t>-</t>
        </is>
      </c>
      <c r="E86" s="12" t="inlineStr">
        <is>
          <t>ea</t>
        </is>
      </c>
      <c r="F86" s="13" t="n">
        <v>18</v>
      </c>
      <c r="G86" s="12" t="inlineStr">
        <is>
          <t>Filters &amp; IAQ</t>
        </is>
      </c>
      <c r="H86" s="12" t="inlineStr"/>
      <c r="I86" s="12" t="inlineStr"/>
      <c r="J86" s="12" t="inlineStr"/>
      <c r="K86" s="12" t="inlineStr"/>
    </row>
    <row r="87">
      <c r="A87" s="14" t="inlineStr">
        <is>
          <t>ac-iq-02</t>
        </is>
      </c>
      <c r="B87" s="14" t="inlineStr">
        <is>
          <t>Media filter replacement</t>
        </is>
      </c>
      <c r="C87" s="14" t="inlineStr">
        <is>
          <t>MEDIA-FIL</t>
        </is>
      </c>
      <c r="D87" s="14" t="inlineStr">
        <is>
          <t>-</t>
        </is>
      </c>
      <c r="E87" s="14" t="inlineStr">
        <is>
          <t>ea</t>
        </is>
      </c>
      <c r="F87" s="15" t="n">
        <v>55</v>
      </c>
      <c r="G87" s="14" t="inlineStr">
        <is>
          <t>Filters &amp; IAQ</t>
        </is>
      </c>
      <c r="H87" s="14" t="inlineStr"/>
      <c r="I87" s="14" t="inlineStr"/>
      <c r="J87" s="14" t="inlineStr"/>
      <c r="K87" s="14" t="inlineStr"/>
    </row>
    <row r="88">
      <c r="A88" s="12" t="inlineStr">
        <is>
          <t>ac-iq-03</t>
        </is>
      </c>
      <c r="B88" s="12" t="inlineStr">
        <is>
          <t>UV lamp / IAQ accessory</t>
        </is>
      </c>
      <c r="C88" s="12" t="inlineStr">
        <is>
          <t>UV-IAQ</t>
        </is>
      </c>
      <c r="D88" s="12" t="inlineStr">
        <is>
          <t>-</t>
        </is>
      </c>
      <c r="E88" s="12" t="inlineStr">
        <is>
          <t>ea</t>
        </is>
      </c>
      <c r="F88" s="13" t="n">
        <v>285</v>
      </c>
      <c r="G88" s="12" t="inlineStr">
        <is>
          <t>Filters &amp; IAQ</t>
        </is>
      </c>
      <c r="H88" s="12" t="inlineStr"/>
      <c r="I88" s="12" t="inlineStr"/>
      <c r="J88" s="12" t="inlineStr"/>
      <c r="K88" s="12" t="inlineStr"/>
    </row>
    <row r="89">
      <c r="A89" s="14" t="inlineStr">
        <is>
          <t>ac-iq-04</t>
        </is>
      </c>
      <c r="B89" s="14" t="inlineStr">
        <is>
          <t>Humidifier accessory</t>
        </is>
      </c>
      <c r="C89" s="14" t="inlineStr">
        <is>
          <t>HUM</t>
        </is>
      </c>
      <c r="D89" s="14" t="inlineStr">
        <is>
          <t>-</t>
        </is>
      </c>
      <c r="E89" s="14" t="inlineStr">
        <is>
          <t>ea</t>
        </is>
      </c>
      <c r="F89" s="15" t="n">
        <v>425</v>
      </c>
      <c r="G89" s="14" t="inlineStr">
        <is>
          <t>Filters &amp; IAQ</t>
        </is>
      </c>
      <c r="H89" s="14" t="inlineStr"/>
      <c r="I89" s="14" t="inlineStr"/>
      <c r="J89" s="14" t="inlineStr"/>
      <c r="K89" s="14" t="inlineStr"/>
    </row>
    <row r="90">
      <c r="A90" s="12" t="inlineStr">
        <is>
          <t>ac-is-01</t>
        </is>
      </c>
      <c r="B90" s="12" t="inlineStr">
        <is>
          <t>Line-set elastomeric insulation</t>
        </is>
      </c>
      <c r="C90" s="12" t="inlineStr">
        <is>
          <t>LS-INS</t>
        </is>
      </c>
      <c r="D90" s="12" t="inlineStr">
        <is>
          <t>-</t>
        </is>
      </c>
      <c r="E90" s="12" t="inlineStr">
        <is>
          <t>ft</t>
        </is>
      </c>
      <c r="F90" s="13" t="n">
        <v>2.15</v>
      </c>
      <c r="G90" s="12" t="inlineStr">
        <is>
          <t>Insulation &amp; sealing</t>
        </is>
      </c>
      <c r="H90" s="12" t="inlineStr"/>
      <c r="I90" s="12" t="inlineStr"/>
      <c r="J90" s="12" t="inlineStr"/>
      <c r="K90" s="12" t="inlineStr"/>
    </row>
    <row r="91">
      <c r="A91" s="14" t="inlineStr">
        <is>
          <t>ac-is-02</t>
        </is>
      </c>
      <c r="B91" s="14" t="inlineStr">
        <is>
          <t>Weatherhood / wall sealant</t>
        </is>
      </c>
      <c r="C91" s="14" t="inlineStr">
        <is>
          <t>WALL-SEAL</t>
        </is>
      </c>
      <c r="D91" s="14" t="inlineStr">
        <is>
          <t>-</t>
        </is>
      </c>
      <c r="E91" s="14" t="inlineStr">
        <is>
          <t>ea</t>
        </is>
      </c>
      <c r="F91" s="15" t="n">
        <v>18</v>
      </c>
      <c r="G91" s="14" t="inlineStr">
        <is>
          <t>Insulation &amp; sealing</t>
        </is>
      </c>
      <c r="H91" s="14" t="inlineStr"/>
      <c r="I91" s="14" t="inlineStr"/>
      <c r="J91" s="14" t="inlineStr"/>
      <c r="K91" s="14" t="inlineStr"/>
    </row>
    <row r="92">
      <c r="A92" s="12" t="inlineStr">
        <is>
          <t>ac-is-03</t>
        </is>
      </c>
      <c r="B92" s="12" t="inlineStr">
        <is>
          <t>Cork tape / putty</t>
        </is>
      </c>
      <c r="C92" s="12" t="inlineStr">
        <is>
          <t>CORK</t>
        </is>
      </c>
      <c r="D92" s="12" t="inlineStr">
        <is>
          <t>-</t>
        </is>
      </c>
      <c r="E92" s="12" t="inlineStr">
        <is>
          <t>ea</t>
        </is>
      </c>
      <c r="F92" s="13" t="n">
        <v>8</v>
      </c>
      <c r="G92" s="12" t="inlineStr">
        <is>
          <t>Insulation &amp; sealing</t>
        </is>
      </c>
      <c r="H92" s="12" t="inlineStr"/>
      <c r="I92" s="12" t="inlineStr"/>
      <c r="J92" s="12" t="inlineStr"/>
      <c r="K92" s="12" t="inlineStr"/>
    </row>
    <row r="93">
      <c r="A93" s="14" t="inlineStr">
        <is>
          <t>ac-cm-01</t>
        </is>
      </c>
      <c r="B93" s="14" t="inlineStr">
        <is>
          <t>Brazing rod (phosphorus / silver as used)</t>
        </is>
      </c>
      <c r="C93" s="14" t="inlineStr">
        <is>
          <t>BRAZE</t>
        </is>
      </c>
      <c r="D93" s="14" t="inlineStr">
        <is>
          <t>-</t>
        </is>
      </c>
      <c r="E93" s="14" t="inlineStr">
        <is>
          <t>lb</t>
        </is>
      </c>
      <c r="F93" s="15" t="n">
        <v>28</v>
      </c>
      <c r="G93" s="14" t="inlineStr">
        <is>
          <t>Consumables / misc &amp; freight</t>
        </is>
      </c>
      <c r="H93" s="14" t="inlineStr"/>
      <c r="I93" s="14" t="inlineStr"/>
      <c r="J93" s="14" t="inlineStr"/>
      <c r="K93" s="14" t="inlineStr"/>
    </row>
    <row r="94">
      <c r="A94" s="12" t="inlineStr">
        <is>
          <t>ac-cm-02</t>
        </is>
      </c>
      <c r="B94" s="12" t="inlineStr">
        <is>
          <t>Flux</t>
        </is>
      </c>
      <c r="C94" s="12" t="inlineStr">
        <is>
          <t>FLUX</t>
        </is>
      </c>
      <c r="D94" s="12" t="inlineStr">
        <is>
          <t>-</t>
        </is>
      </c>
      <c r="E94" s="12" t="inlineStr">
        <is>
          <t>jar</t>
        </is>
      </c>
      <c r="F94" s="13" t="n">
        <v>12</v>
      </c>
      <c r="G94" s="12" t="inlineStr">
        <is>
          <t>Consumables / misc &amp; freight</t>
        </is>
      </c>
      <c r="H94" s="12" t="inlineStr"/>
      <c r="I94" s="12" t="inlineStr"/>
      <c r="J94" s="12" t="inlineStr"/>
      <c r="K94" s="12" t="inlineStr"/>
    </row>
    <row r="95">
      <c r="A95" s="14" t="inlineStr">
        <is>
          <t>ac-cm-03</t>
        </is>
      </c>
      <c r="B95" s="14" t="inlineStr">
        <is>
          <t>Thread sealant (refrigerant-compatible)</t>
        </is>
      </c>
      <c r="C95" s="14" t="inlineStr">
        <is>
          <t>SEAL</t>
        </is>
      </c>
      <c r="D95" s="14" t="inlineStr">
        <is>
          <t>-</t>
        </is>
      </c>
      <c r="E95" s="14" t="inlineStr">
        <is>
          <t>ea</t>
        </is>
      </c>
      <c r="F95" s="15" t="n">
        <v>9</v>
      </c>
      <c r="G95" s="14" t="inlineStr">
        <is>
          <t>Consumables / misc &amp; freight</t>
        </is>
      </c>
      <c r="H95" s="14" t="inlineStr"/>
      <c r="I95" s="14" t="inlineStr"/>
      <c r="J95" s="14" t="inlineStr"/>
      <c r="K95" s="14" t="inlineStr"/>
    </row>
    <row r="96">
      <c r="A96" s="12" t="inlineStr">
        <is>
          <t>ac-cm-04</t>
        </is>
      </c>
      <c r="B96" s="12" t="inlineStr">
        <is>
          <t>Fasteners / anchors assortment</t>
        </is>
      </c>
      <c r="C96" s="12" t="inlineStr">
        <is>
          <t>FAST</t>
        </is>
      </c>
      <c r="D96" s="12" t="inlineStr">
        <is>
          <t>-</t>
        </is>
      </c>
      <c r="E96" s="12" t="inlineStr">
        <is>
          <t>kit</t>
        </is>
      </c>
      <c r="F96" s="13" t="n">
        <v>15</v>
      </c>
      <c r="G96" s="12" t="inlineStr">
        <is>
          <t>Consumables / misc &amp; freight</t>
        </is>
      </c>
      <c r="H96" s="12" t="inlineStr"/>
      <c r="I96" s="12" t="inlineStr"/>
      <c r="J96" s="12" t="inlineStr"/>
      <c r="K96" s="12" t="inlineStr"/>
    </row>
    <row r="97">
      <c r="A97" s="14" t="inlineStr">
        <is>
          <t>ac-cm-05</t>
        </is>
      </c>
      <c r="B97" s="14" t="inlineStr">
        <is>
          <t>Tie wraps / clamps</t>
        </is>
      </c>
      <c r="C97" s="14" t="inlineStr">
        <is>
          <t>TIES</t>
        </is>
      </c>
      <c r="D97" s="14" t="inlineStr">
        <is>
          <t>-</t>
        </is>
      </c>
      <c r="E97" s="14" t="inlineStr">
        <is>
          <t>pk</t>
        </is>
      </c>
      <c r="F97" s="15" t="n">
        <v>8</v>
      </c>
      <c r="G97" s="14" t="inlineStr">
        <is>
          <t>Consumables / misc &amp; freight</t>
        </is>
      </c>
      <c r="H97" s="14" t="inlineStr"/>
      <c r="I97" s="14" t="inlineStr"/>
      <c r="J97" s="14" t="inlineStr"/>
      <c r="K97" s="14" t="inlineStr"/>
    </row>
    <row r="98">
      <c r="A98" s="12" t="inlineStr">
        <is>
          <t>ac-cm-06</t>
        </is>
      </c>
      <c r="B98" s="12" t="inlineStr">
        <is>
          <t>Equipment disposal / haul-away</t>
        </is>
      </c>
      <c r="C98" s="12" t="inlineStr">
        <is>
          <t>HAUL</t>
        </is>
      </c>
      <c r="D98" s="12" t="inlineStr">
        <is>
          <t>-</t>
        </is>
      </c>
      <c r="E98" s="12" t="inlineStr">
        <is>
          <t>ea</t>
        </is>
      </c>
      <c r="F98" s="13" t="n">
        <v>275</v>
      </c>
      <c r="G98" s="12" t="inlineStr">
        <is>
          <t>Consumables / misc &amp; freight</t>
        </is>
      </c>
      <c r="H98" s="12" t="inlineStr"/>
      <c r="I98" s="12" t="inlineStr"/>
      <c r="J98" s="12" t="inlineStr"/>
      <c r="K98" s="12" t="inlineStr">
        <is>
          <t>replace,service</t>
        </is>
      </c>
    </row>
    <row r="99">
      <c r="A99" s="14" t="inlineStr">
        <is>
          <t>ac-cm-07</t>
        </is>
      </c>
      <c r="B99" s="14" t="inlineStr">
        <is>
          <t>Refrigerant recovery surcharge / environmental fee</t>
        </is>
      </c>
      <c r="C99" s="14" t="inlineStr">
        <is>
          <t>REC-FEE</t>
        </is>
      </c>
      <c r="D99" s="14" t="inlineStr">
        <is>
          <t>-</t>
        </is>
      </c>
      <c r="E99" s="14" t="inlineStr">
        <is>
          <t>allow</t>
        </is>
      </c>
      <c r="F99" s="15" t="n">
        <v>125</v>
      </c>
      <c r="G99" s="14" t="inlineStr">
        <is>
          <t>Consumables / misc &amp; freight</t>
        </is>
      </c>
      <c r="H99" s="14" t="inlineStr"/>
      <c r="I99" s="14" t="inlineStr"/>
      <c r="J99" s="14" t="inlineStr"/>
      <c r="K99" s="14" t="inlineStr">
        <is>
          <t>service-legacy</t>
        </is>
      </c>
    </row>
    <row r="100">
      <c r="A100" s="12" t="inlineStr">
        <is>
          <t>ac-cm-08</t>
        </is>
      </c>
      <c r="B100" s="12" t="inlineStr">
        <is>
          <t>Permit allowance</t>
        </is>
      </c>
      <c r="C100" s="12" t="inlineStr">
        <is>
          <t>PERMIT</t>
        </is>
      </c>
      <c r="D100" s="12" t="inlineStr">
        <is>
          <t>-</t>
        </is>
      </c>
      <c r="E100" s="12" t="inlineStr">
        <is>
          <t>allow</t>
        </is>
      </c>
      <c r="F100" s="13" t="n">
        <v>175</v>
      </c>
      <c r="G100" s="12" t="inlineStr">
        <is>
          <t>Consumables / misc &amp; freight</t>
        </is>
      </c>
      <c r="H100" s="12" t="inlineStr"/>
      <c r="I100" s="12" t="inlineStr"/>
      <c r="J100" s="12" t="inlineStr"/>
      <c r="K100" s="12" t="inlineStr"/>
    </row>
    <row r="101">
      <c r="A101" s="14" t="inlineStr">
        <is>
          <t>ac-cm-09</t>
        </is>
      </c>
      <c r="B101" s="14" t="inlineStr">
        <is>
          <t>Freight / crane / lift rental allowance</t>
        </is>
      </c>
      <c r="C101" s="14" t="inlineStr">
        <is>
          <t>FREIGHT</t>
        </is>
      </c>
      <c r="D101" s="14" t="inlineStr">
        <is>
          <t>-</t>
        </is>
      </c>
      <c r="E101" s="14" t="inlineStr">
        <is>
          <t>allow</t>
        </is>
      </c>
      <c r="F101" s="15" t="n">
        <v>450</v>
      </c>
      <c r="G101" s="14" t="inlineStr">
        <is>
          <t>Consumables / misc &amp; freight</t>
        </is>
      </c>
      <c r="H101" s="14" t="inlineStr"/>
      <c r="I101" s="14" t="inlineStr"/>
      <c r="J101" s="14" t="inlineStr"/>
      <c r="K101" s="14" t="inlineStr"/>
    </row>
    <row r="102">
      <c r="A102" s="12" t="inlineStr">
        <is>
          <t>ac-cm-10</t>
        </is>
      </c>
      <c r="B102" s="12" t="inlineStr">
        <is>
          <t>Trip / service call flat</t>
        </is>
      </c>
      <c r="C102" s="12" t="inlineStr">
        <is>
          <t>TRIP</t>
        </is>
      </c>
      <c r="D102" s="12" t="inlineStr">
        <is>
          <t>-</t>
        </is>
      </c>
      <c r="E102" s="12" t="inlineStr">
        <is>
          <t>ea</t>
        </is>
      </c>
      <c r="F102" s="13" t="n">
        <v>125</v>
      </c>
      <c r="G102" s="12" t="inlineStr">
        <is>
          <t>Consumables / misc &amp; freight</t>
        </is>
      </c>
      <c r="H102" s="12" t="inlineStr"/>
      <c r="I102" s="12" t="inlineStr"/>
      <c r="J102" s="12" t="inlineStr"/>
      <c r="K102" s="12" t="inlineStr">
        <is>
          <t>service</t>
        </is>
      </c>
    </row>
    <row r="103">
      <c r="A103" s="14" t="inlineStr">
        <is>
          <t>ac-cm-11</t>
        </is>
      </c>
      <c r="B103" s="14" t="inlineStr">
        <is>
          <t>Start-up / commissioning flat</t>
        </is>
      </c>
      <c r="C103" s="14" t="inlineStr">
        <is>
          <t>STARTUP</t>
        </is>
      </c>
      <c r="D103" s="14" t="inlineStr">
        <is>
          <t>-</t>
        </is>
      </c>
      <c r="E103" s="14" t="inlineStr">
        <is>
          <t>ea</t>
        </is>
      </c>
      <c r="F103" s="15" t="n">
        <v>185</v>
      </c>
      <c r="G103" s="14" t="inlineStr">
        <is>
          <t>Consumables / misc &amp; freight</t>
        </is>
      </c>
      <c r="H103" s="14" t="inlineStr"/>
      <c r="I103" s="14" t="inlineStr"/>
      <c r="J103" s="14" t="inlineStr"/>
      <c r="K103" s="14" t="inlineStr"/>
    </row>
  </sheetData>
  <autoFilter ref="A5:K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LABOR &amp; EQUIPMENT</t>
        </is>
      </c>
    </row>
    <row r="2">
      <c r="A2" s="3" t="inlineStr">
        <is>
          <t>TOTAL IN-HOUSE LABOR</t>
        </is>
      </c>
      <c r="B2" s="9">
        <f>F29+F35+F41+F47+F53</f>
        <v/>
      </c>
      <c r="C2" t="inlineStr">
        <is>
          <t>← feeds Summary!D22</t>
        </is>
      </c>
    </row>
    <row r="4">
      <c r="A4" s="2" t="inlineStr">
        <is>
          <t>EQUIPMENT / RENTAL</t>
        </is>
      </c>
    </row>
    <row r="5">
      <c r="A5" s="11" t="inlineStr">
        <is>
          <t>Equipment Type</t>
        </is>
      </c>
      <c r="B5" s="11" t="inlineStr">
        <is>
          <t>Cost</t>
        </is>
      </c>
      <c r="C5" s="11" t="inlineStr">
        <is>
          <t>Vendor</t>
        </is>
      </c>
    </row>
    <row r="6">
      <c r="A6" t="inlineStr">
        <is>
          <t>Crane / lift allowance</t>
        </is>
      </c>
      <c r="B6" s="6" t="n">
        <v>450</v>
      </c>
      <c r="C6" t="inlineStr">
        <is>
          <t>rental</t>
        </is>
      </c>
    </row>
    <row r="7">
      <c r="A7" t="inlineStr">
        <is>
          <t>Recovery machine rental (A2L-capable)</t>
        </is>
      </c>
      <c r="B7" s="6" t="n">
        <v>150</v>
      </c>
      <c r="C7" t="inlineStr">
        <is>
          <t>shop</t>
        </is>
      </c>
    </row>
    <row r="8">
      <c r="B8" s="6" t="n">
        <v>0</v>
      </c>
    </row>
    <row r="9">
      <c r="B9" s="6" t="n">
        <v>0</v>
      </c>
    </row>
    <row r="10">
      <c r="B10" s="6" t="n">
        <v>0</v>
      </c>
    </row>
    <row r="11">
      <c r="B11" s="6" t="n">
        <v>0</v>
      </c>
    </row>
    <row r="12">
      <c r="B12" s="6" t="n">
        <v>0</v>
      </c>
    </row>
    <row r="13">
      <c r="B13" s="6" t="n">
        <v>0</v>
      </c>
    </row>
    <row r="14">
      <c r="A14" t="inlineStr">
        <is>
          <t>Small Tools roll-up</t>
        </is>
      </c>
      <c r="B14" s="6">
        <f>SmallTools!E5</f>
        <v/>
      </c>
    </row>
    <row r="15">
      <c r="A15" s="3" t="inlineStr">
        <is>
          <t>EQUIPMENT COST TOTAL</t>
        </is>
      </c>
      <c r="B15" s="9">
        <f>SUM(B6:B13)+B14</f>
        <v/>
      </c>
      <c r="C15" t="inlineStr">
        <is>
          <t>← feeds Summary!D20</t>
        </is>
      </c>
    </row>
    <row r="17">
      <c r="A17" s="2" t="inlineStr">
        <is>
          <t>SUBCONTRACTORS</t>
        </is>
      </c>
    </row>
    <row r="18">
      <c r="A18" s="11" t="inlineStr">
        <is>
          <t>Name</t>
        </is>
      </c>
      <c r="B18" s="11" t="inlineStr">
        <is>
          <t>Scope</t>
        </is>
      </c>
      <c r="C18" s="11" t="inlineStr">
        <is>
          <t>Price</t>
        </is>
      </c>
    </row>
    <row r="19">
      <c r="C19" s="6" t="n">
        <v>0</v>
      </c>
    </row>
    <row r="20">
      <c r="C20" s="6" t="n">
        <v>0</v>
      </c>
    </row>
    <row r="21">
      <c r="C21" s="6" t="n">
        <v>0</v>
      </c>
    </row>
    <row r="22">
      <c r="C22" s="6" t="n">
        <v>0</v>
      </c>
    </row>
    <row r="23">
      <c r="A23" t="inlineStr">
        <is>
          <t>SUBCONTRACTOR TOTAL</t>
        </is>
      </c>
      <c r="B23" s="6">
        <f>SUM(C19:C22)</f>
        <v/>
      </c>
      <c r="C23" t="inlineStr">
        <is>
          <t>← feeds Summary!D26</t>
        </is>
      </c>
    </row>
    <row r="25">
      <c r="A25" s="2" t="inlineStr">
        <is>
          <t>LABOR — Lead tech</t>
        </is>
      </c>
      <c r="B25" s="16" t="n"/>
      <c r="C25" s="16" t="n"/>
      <c r="D25" s="16" t="inlineStr">
        <is>
          <t>Burden $/hr</t>
        </is>
      </c>
      <c r="E25" s="17">
        <f>Workers!C12</f>
        <v/>
      </c>
      <c r="F25" s="17" t="n"/>
      <c r="G25" s="16" t="n"/>
      <c r="H25" s="16" t="n"/>
    </row>
    <row r="26">
      <c r="A26" s="16" t="inlineStr">
        <is>
          <t>Persons (straight)</t>
        </is>
      </c>
      <c r="B26" s="16" t="n">
        <v>1</v>
      </c>
      <c r="C26" s="16" t="inlineStr">
        <is>
          <t>Days</t>
        </is>
      </c>
      <c r="D26" s="16" t="n">
        <v>2</v>
      </c>
      <c r="E26" s="16" t="inlineStr">
        <is>
          <t>Hrs/day</t>
        </is>
      </c>
      <c r="F26" s="16" t="n">
        <v>8</v>
      </c>
      <c r="G26" s="16" t="n"/>
      <c r="H26" s="16" t="n"/>
    </row>
    <row r="27">
      <c r="A27" s="16" t="inlineStr">
        <is>
          <t>Sat P / D / H</t>
        </is>
      </c>
      <c r="B27" s="16" t="n">
        <v>0</v>
      </c>
      <c r="C27" s="16" t="n">
        <v>0</v>
      </c>
      <c r="D27" s="16" t="n">
        <v>8</v>
      </c>
      <c r="E27" s="16" t="inlineStr">
        <is>
          <t>Sun P / D / H</t>
        </is>
      </c>
      <c r="F27" s="16" t="n">
        <v>0</v>
      </c>
      <c r="G27" s="16" t="n">
        <v>0</v>
      </c>
      <c r="H27" s="16" t="n">
        <v>8</v>
      </c>
      <c r="I27" t="inlineStr">
        <is>
          <t>Weekday OT hrs (&gt;8 hpd)</t>
        </is>
      </c>
    </row>
    <row r="28">
      <c r="A28" s="16" t="inlineStr">
        <is>
          <t>Straight hrs</t>
        </is>
      </c>
      <c r="B28" s="16">
        <f>IF(F26&gt;8,B26*D26*8,B26*D26*F26)</f>
        <v/>
      </c>
      <c r="C28" s="16" t="inlineStr">
        <is>
          <t>OT hrs (Sat ×1.5 burden)</t>
        </is>
      </c>
      <c r="D28" s="16">
        <f>B27*C27*D27</f>
        <v/>
      </c>
      <c r="E28" s="16" t="inlineStr">
        <is>
          <t>DT hrs (Sun ×2 burden)</t>
        </is>
      </c>
      <c r="F28" s="16">
        <f>F27*G27*H27</f>
        <v/>
      </c>
      <c r="G28" s="16" t="n"/>
      <c r="H28" s="16" t="n"/>
      <c r="I28">
        <f>IF(F26&gt;8,B26*D26*(F26-8),0)</f>
        <v/>
      </c>
    </row>
    <row r="29">
      <c r="A29" s="3" t="inlineStr">
        <is>
          <t>Labor cost</t>
        </is>
      </c>
      <c r="B29" s="16" t="n"/>
      <c r="C29" s="16" t="n"/>
      <c r="D29" s="16" t="n"/>
      <c r="E29" s="16" t="n"/>
      <c r="F29" s="18">
        <f>B28*E25+(I28+D28)*E25*1.5+F28*E25*2</f>
        <v/>
      </c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2" t="inlineStr">
        <is>
          <t>LABOR — Installer</t>
        </is>
      </c>
      <c r="B31" s="16" t="n"/>
      <c r="C31" s="16" t="n"/>
      <c r="D31" s="16" t="inlineStr">
        <is>
          <t>Burden $/hr</t>
        </is>
      </c>
      <c r="E31" s="17">
        <f>Workers!C13</f>
        <v/>
      </c>
      <c r="F31" s="16" t="n"/>
      <c r="G31" s="16" t="n"/>
      <c r="H31" s="16" t="n"/>
    </row>
    <row r="32">
      <c r="A32" s="16" t="inlineStr">
        <is>
          <t>Persons (straight)</t>
        </is>
      </c>
      <c r="B32" s="16" t="n">
        <v>1</v>
      </c>
      <c r="C32" s="16" t="inlineStr">
        <is>
          <t>Days</t>
        </is>
      </c>
      <c r="D32" s="16" t="n">
        <v>2</v>
      </c>
      <c r="E32" s="16" t="inlineStr">
        <is>
          <t>Hrs/day</t>
        </is>
      </c>
      <c r="F32" s="16" t="n">
        <v>8</v>
      </c>
      <c r="G32" s="16" t="n"/>
      <c r="H32" s="16" t="n"/>
    </row>
    <row r="33">
      <c r="A33" s="16" t="inlineStr">
        <is>
          <t>Sat P / D / H</t>
        </is>
      </c>
      <c r="B33" s="16" t="n">
        <v>0</v>
      </c>
      <c r="C33" s="16" t="n">
        <v>0</v>
      </c>
      <c r="D33" s="16" t="n">
        <v>8</v>
      </c>
      <c r="E33" s="16" t="inlineStr">
        <is>
          <t>Sun P / D / H</t>
        </is>
      </c>
      <c r="F33" s="16" t="n">
        <v>0</v>
      </c>
      <c r="G33" s="16" t="n">
        <v>0</v>
      </c>
      <c r="H33" s="16" t="n">
        <v>8</v>
      </c>
      <c r="I33" t="inlineStr">
        <is>
          <t>Weekday OT hrs (&gt;8 hpd)</t>
        </is>
      </c>
    </row>
    <row r="34">
      <c r="A34" s="16" t="inlineStr">
        <is>
          <t>Straight hrs</t>
        </is>
      </c>
      <c r="B34" s="16">
        <f>IF(F32&gt;8,B32*D32*8,B32*D32*F32)</f>
        <v/>
      </c>
      <c r="C34" s="16" t="inlineStr">
        <is>
          <t>OT hrs (Sat ×1.5 burden)</t>
        </is>
      </c>
      <c r="D34" s="16">
        <f>B33*C33*D33</f>
        <v/>
      </c>
      <c r="E34" s="16" t="inlineStr">
        <is>
          <t>DT hrs (Sun ×2 burden)</t>
        </is>
      </c>
      <c r="F34" s="16">
        <f>F33*G33*H33</f>
        <v/>
      </c>
      <c r="G34" s="16" t="n"/>
      <c r="H34" s="16" t="n"/>
      <c r="I34">
        <f>IF(F32&gt;8,B32*D32*(F32-8),0)</f>
        <v/>
      </c>
    </row>
    <row r="35">
      <c r="A35" s="3" t="inlineStr">
        <is>
          <t>Labor cost</t>
        </is>
      </c>
      <c r="B35" s="16" t="n"/>
      <c r="C35" s="16" t="n"/>
      <c r="D35" s="16" t="n"/>
      <c r="E35" s="16" t="n"/>
      <c r="F35" s="18">
        <f>B34*E31+(I34+D34)*E31*1.5+F34*E31*2</f>
        <v/>
      </c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2" t="inlineStr">
        <is>
          <t>LABOR — Helper</t>
        </is>
      </c>
      <c r="B37" s="16" t="n"/>
      <c r="C37" s="16" t="n"/>
      <c r="D37" s="16" t="inlineStr">
        <is>
          <t>Burden $/hr</t>
        </is>
      </c>
      <c r="E37" s="17">
        <f>Workers!C14</f>
        <v/>
      </c>
      <c r="F37" s="16" t="n"/>
      <c r="G37" s="16" t="n"/>
      <c r="H37" s="16" t="n"/>
    </row>
    <row r="38">
      <c r="A38" s="16" t="inlineStr">
        <is>
          <t>Persons (straight)</t>
        </is>
      </c>
      <c r="B38" s="16" t="n">
        <v>1</v>
      </c>
      <c r="C38" s="16" t="inlineStr">
        <is>
          <t>Days</t>
        </is>
      </c>
      <c r="D38" s="16" t="n">
        <v>2</v>
      </c>
      <c r="E38" s="16" t="inlineStr">
        <is>
          <t>Hrs/day</t>
        </is>
      </c>
      <c r="F38" s="16" t="n">
        <v>8</v>
      </c>
      <c r="G38" s="16" t="n"/>
      <c r="H38" s="16" t="n"/>
    </row>
    <row r="39">
      <c r="A39" s="16" t="inlineStr">
        <is>
          <t>Sat P / D / H</t>
        </is>
      </c>
      <c r="B39" s="16" t="n">
        <v>0</v>
      </c>
      <c r="C39" s="16" t="n">
        <v>0</v>
      </c>
      <c r="D39" s="16" t="n">
        <v>8</v>
      </c>
      <c r="E39" s="16" t="inlineStr">
        <is>
          <t>Sun P / D / H</t>
        </is>
      </c>
      <c r="F39" s="16" t="n">
        <v>0</v>
      </c>
      <c r="G39" s="16" t="n">
        <v>0</v>
      </c>
      <c r="H39" s="16" t="n">
        <v>8</v>
      </c>
      <c r="I39" t="inlineStr">
        <is>
          <t>Weekday OT hrs (&gt;8 hpd)</t>
        </is>
      </c>
    </row>
    <row r="40">
      <c r="A40" s="16" t="inlineStr">
        <is>
          <t>Straight hrs</t>
        </is>
      </c>
      <c r="B40" s="16">
        <f>IF(F38&gt;8,B38*D38*8,B38*D38*F38)</f>
        <v/>
      </c>
      <c r="C40" s="16" t="inlineStr">
        <is>
          <t>OT hrs (Sat ×1.5 burden)</t>
        </is>
      </c>
      <c r="D40" s="16">
        <f>B39*C39*D39</f>
        <v/>
      </c>
      <c r="E40" s="16" t="inlineStr">
        <is>
          <t>DT hrs (Sun ×2 burden)</t>
        </is>
      </c>
      <c r="F40" s="16">
        <f>F39*G39*H39</f>
        <v/>
      </c>
      <c r="G40" s="16" t="n"/>
      <c r="H40" s="16" t="n"/>
      <c r="I40">
        <f>IF(F38&gt;8,B38*D38*(F38-8),0)</f>
        <v/>
      </c>
    </row>
    <row r="41">
      <c r="A41" s="3" t="inlineStr">
        <is>
          <t>Labor cost</t>
        </is>
      </c>
      <c r="B41" s="16" t="n"/>
      <c r="C41" s="16" t="n"/>
      <c r="D41" s="16" t="n"/>
      <c r="E41" s="16" t="n"/>
      <c r="F41" s="18">
        <f>B40*E37+(I40+D40)*E37*1.5+F40*E37*2</f>
        <v/>
      </c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2" t="inlineStr">
        <is>
          <t>LABOR — Sheet-metal</t>
        </is>
      </c>
      <c r="B43" s="16" t="n"/>
      <c r="C43" s="16" t="n"/>
      <c r="D43" s="16" t="inlineStr">
        <is>
          <t>Burden $/hr</t>
        </is>
      </c>
      <c r="E43" s="17">
        <f>Workers!C15</f>
        <v/>
      </c>
      <c r="F43" s="16" t="n"/>
      <c r="G43" s="16" t="n"/>
      <c r="H43" s="16" t="n"/>
    </row>
    <row r="44">
      <c r="A44" s="16" t="inlineStr">
        <is>
          <t>Persons (straight)</t>
        </is>
      </c>
      <c r="B44" s="16" t="n">
        <v>0</v>
      </c>
      <c r="C44" s="16" t="inlineStr">
        <is>
          <t>Days</t>
        </is>
      </c>
      <c r="D44" s="16" t="n">
        <v>0</v>
      </c>
      <c r="E44" s="16" t="inlineStr">
        <is>
          <t>Hrs/day</t>
        </is>
      </c>
      <c r="F44" s="16" t="n">
        <v>8</v>
      </c>
      <c r="G44" s="16" t="n"/>
      <c r="H44" s="16" t="n"/>
    </row>
    <row r="45">
      <c r="A45" s="16" t="inlineStr">
        <is>
          <t>Sat P / D / H</t>
        </is>
      </c>
      <c r="B45" s="16" t="n">
        <v>0</v>
      </c>
      <c r="C45" s="16" t="n">
        <v>0</v>
      </c>
      <c r="D45" s="16" t="n">
        <v>8</v>
      </c>
      <c r="E45" s="16" t="inlineStr">
        <is>
          <t>Sun P / D / H</t>
        </is>
      </c>
      <c r="F45" s="17" t="n">
        <v>0</v>
      </c>
      <c r="G45" s="16" t="n">
        <v>0</v>
      </c>
      <c r="H45" s="16" t="n">
        <v>8</v>
      </c>
      <c r="I45" t="inlineStr">
        <is>
          <t>Weekday OT hrs (&gt;8 hpd)</t>
        </is>
      </c>
    </row>
    <row r="46">
      <c r="A46" s="16" t="inlineStr">
        <is>
          <t>Straight hrs</t>
        </is>
      </c>
      <c r="B46" s="16">
        <f>IF(F44&gt;8,B44*D44*8,B44*D44*F44)</f>
        <v/>
      </c>
      <c r="C46" s="16" t="inlineStr">
        <is>
          <t>OT hrs (Sat ×1.5 burden)</t>
        </is>
      </c>
      <c r="D46" s="16">
        <f>B45*C45*D45</f>
        <v/>
      </c>
      <c r="E46" s="16" t="inlineStr">
        <is>
          <t>DT hrs (Sun ×2 burden)</t>
        </is>
      </c>
      <c r="F46" s="16">
        <f>F45*G45*H45</f>
        <v/>
      </c>
      <c r="G46" s="16" t="n"/>
      <c r="H46" s="16" t="n"/>
      <c r="I46">
        <f>IF(F44&gt;8,B44*D44*(F44-8),0)</f>
        <v/>
      </c>
    </row>
    <row r="47">
      <c r="A47" s="3" t="inlineStr">
        <is>
          <t>Labor cost</t>
        </is>
      </c>
      <c r="B47" s="16" t="n"/>
      <c r="C47" s="16" t="n"/>
      <c r="D47" s="16" t="n"/>
      <c r="E47" s="16" t="n"/>
      <c r="F47" s="18">
        <f>B46*E43+(I46+D46)*E43*1.5+F46*E43*2</f>
        <v/>
      </c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2" t="inlineStr">
        <is>
          <t>LABOR — Start-up</t>
        </is>
      </c>
      <c r="B49" s="16" t="n"/>
      <c r="C49" s="16" t="n"/>
      <c r="D49" s="16" t="inlineStr">
        <is>
          <t>Burden $/hr</t>
        </is>
      </c>
      <c r="E49" s="17">
        <f>Workers!C16</f>
        <v/>
      </c>
      <c r="F49" s="16" t="n"/>
      <c r="G49" s="16" t="n"/>
      <c r="H49" s="16" t="n"/>
    </row>
    <row r="50">
      <c r="A50" s="16" t="inlineStr">
        <is>
          <t>Persons (straight)</t>
        </is>
      </c>
      <c r="B50" s="16" t="n">
        <v>1</v>
      </c>
      <c r="C50" s="16" t="inlineStr">
        <is>
          <t>Days</t>
        </is>
      </c>
      <c r="D50" s="16" t="n">
        <v>0.5</v>
      </c>
      <c r="E50" s="16" t="inlineStr">
        <is>
          <t>Hrs/day</t>
        </is>
      </c>
      <c r="F50" s="16" t="n">
        <v>8</v>
      </c>
      <c r="G50" s="16" t="n"/>
      <c r="H50" s="16" t="n"/>
    </row>
    <row r="51">
      <c r="A51" s="16" t="inlineStr">
        <is>
          <t>Sat P / D / H</t>
        </is>
      </c>
      <c r="B51" s="16" t="n">
        <v>0</v>
      </c>
      <c r="C51" s="16" t="n">
        <v>0</v>
      </c>
      <c r="D51" s="16" t="n">
        <v>8</v>
      </c>
      <c r="E51" s="16" t="inlineStr">
        <is>
          <t>Sun P / D / H</t>
        </is>
      </c>
      <c r="F51" s="16" t="n">
        <v>0</v>
      </c>
      <c r="G51" s="16" t="n">
        <v>0</v>
      </c>
      <c r="H51" s="16" t="n">
        <v>8</v>
      </c>
      <c r="I51" t="inlineStr">
        <is>
          <t>Weekday OT hrs (&gt;8 hpd)</t>
        </is>
      </c>
    </row>
    <row r="52">
      <c r="A52" s="16" t="inlineStr">
        <is>
          <t>Straight hrs</t>
        </is>
      </c>
      <c r="B52" s="16">
        <f>IF(F50&gt;8,B50*D50*8,B50*D50*F50)</f>
        <v/>
      </c>
      <c r="C52" s="16" t="inlineStr">
        <is>
          <t>OT hrs (Sat ×1.5 burden)</t>
        </is>
      </c>
      <c r="D52" s="16">
        <f>B51*C51*D51</f>
        <v/>
      </c>
      <c r="E52" s="16" t="inlineStr">
        <is>
          <t>DT hrs (Sun ×2 burden)</t>
        </is>
      </c>
      <c r="F52" s="16">
        <f>F51*G51*H51</f>
        <v/>
      </c>
      <c r="G52" s="16" t="n"/>
      <c r="H52" s="16" t="n"/>
      <c r="I52">
        <f>IF(F50&gt;8,B50*D50*(F50-8),0)</f>
        <v/>
      </c>
    </row>
    <row r="53">
      <c r="A53" s="3" t="inlineStr">
        <is>
          <t>Labor cost</t>
        </is>
      </c>
      <c r="B53" s="16" t="n"/>
      <c r="C53" s="16" t="n"/>
      <c r="D53" s="16" t="n"/>
      <c r="E53" s="16" t="n"/>
      <c r="F53" s="18">
        <f>B52*E49+(I52+D52)*E49*1.5+F52*E49*2</f>
        <v/>
      </c>
      <c r="G53" s="16" t="n"/>
      <c r="H53" s="16" t="n"/>
    </row>
    <row r="54">
      <c r="A54" s="16" t="inlineStr">
        <is>
          <t>Note: If Hrs/day &gt; 8, hours above 8 count as weekday OT at burden ×1.5 (Sat ×1.5, Sun ×2).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7" t="n"/>
      <c r="G55" s="16" t="n"/>
      <c r="H55" s="16" t="n"/>
    </row>
    <row r="56">
      <c r="A56" s="16" t="inlineStr">
        <is>
          <t>Note: Labor cost uses Workers BURDEN rates, not pay calculator. OT=1.5× / DT=2× burden.</t>
        </is>
      </c>
      <c r="B56" s="16" t="n"/>
      <c r="C56" s="16" t="n"/>
      <c r="D56" s="16" t="n"/>
      <c r="E56" s="16" t="n"/>
      <c r="F56" s="16" t="n"/>
      <c r="G56" s="16" t="n"/>
      <c r="H56" s="16" t="n"/>
    </row>
    <row r="57">
      <c r="A57" s="16" t="inlineStr">
        <is>
          <t>Demo: Lead 2d×8h@$65 + Installer 2d×8h@$52 + Helper 2d×8h@$35 + Start-up 0.5d×8h@$70 = $2,712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</row>
    <row r="65">
      <c r="A65" s="16" t="n"/>
      <c r="B65" s="16" t="n"/>
      <c r="C65" s="16" t="n"/>
      <c r="D65" s="16" t="n"/>
      <c r="E65" s="16" t="n"/>
      <c r="F65" s="17" t="n"/>
      <c r="G65" s="16" t="n"/>
      <c r="H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SMALL TOOLS (rolls into Equip — Method A once)</t>
        </is>
      </c>
    </row>
    <row r="2">
      <c r="A2" t="inlineStr">
        <is>
          <t>Do not apply Method A separately to small tools.</t>
        </is>
      </c>
    </row>
    <row r="4">
      <c r="A4" s="3" t="inlineStr">
        <is>
          <t>Small Tools TOTAL</t>
        </is>
      </c>
    </row>
    <row r="5">
      <c r="A5" s="3" t="inlineStr">
        <is>
          <t>TOTAL → LaborEquip!B14</t>
        </is>
      </c>
      <c r="E5" s="9">
        <f>SUM(F12:F100)</f>
        <v/>
      </c>
    </row>
    <row r="11">
      <c r="A11" s="11" t="inlineStr">
        <is>
          <t>Qty</t>
        </is>
      </c>
      <c r="B11" s="11" t="inlineStr">
        <is>
          <t>Description</t>
        </is>
      </c>
      <c r="C11" s="11" t="inlineStr">
        <is>
          <t>Supplier</t>
        </is>
      </c>
      <c r="D11" s="11" t="inlineStr">
        <is>
          <t>Part</t>
        </is>
      </c>
      <c r="E11" s="11" t="inlineStr">
        <is>
          <t>Unit Cost</t>
        </is>
      </c>
      <c r="F11" s="11" t="inlineStr">
        <is>
          <t>Extension</t>
        </is>
      </c>
      <c r="G11" s="11" t="inlineStr">
        <is>
          <t>Group</t>
        </is>
      </c>
    </row>
    <row r="12">
      <c r="A12" t="n">
        <v>0</v>
      </c>
      <c r="B12" t="inlineStr">
        <is>
          <t>Safety glasses</t>
        </is>
      </c>
      <c r="E12" s="6" t="n">
        <v>8</v>
      </c>
      <c r="F12" s="6">
        <f>IF(A12="","",A12*E12)</f>
        <v/>
      </c>
      <c r="G12" t="inlineStr">
        <is>
          <t>PPE</t>
        </is>
      </c>
    </row>
    <row r="13">
      <c r="A13" t="n">
        <v>0</v>
      </c>
      <c r="B13" t="inlineStr">
        <is>
          <t>Work gloves</t>
        </is>
      </c>
      <c r="E13" s="6" t="n">
        <v>6</v>
      </c>
      <c r="F13" s="6">
        <f>IF(A13="","",A13*E13)</f>
        <v/>
      </c>
      <c r="G13" t="inlineStr">
        <is>
          <t>PPE</t>
        </is>
      </c>
    </row>
    <row r="14">
      <c r="A14" t="n">
        <v>0</v>
      </c>
      <c r="B14" t="inlineStr">
        <is>
          <t>Kneepads</t>
        </is>
      </c>
      <c r="E14" s="6" t="n">
        <v>18</v>
      </c>
      <c r="F14" s="6">
        <f>IF(A14="","",A14*E14)</f>
        <v/>
      </c>
      <c r="G14" t="inlineStr">
        <is>
          <t>PPE</t>
        </is>
      </c>
    </row>
    <row r="15">
      <c r="A15" t="n">
        <v>0</v>
      </c>
      <c r="B15" t="inlineStr">
        <is>
          <t>Vacuum pump oil</t>
        </is>
      </c>
      <c r="E15" s="6" t="n">
        <v>12</v>
      </c>
      <c r="F15" s="6">
        <f>IF(A15="","",A15*E15)</f>
        <v/>
      </c>
      <c r="G15" t="inlineStr">
        <is>
          <t>HVAC tools</t>
        </is>
      </c>
    </row>
    <row r="16">
      <c r="A16" t="n">
        <v>0</v>
      </c>
      <c r="B16" t="inlineStr">
        <is>
          <t>Nitrogen purge consumables</t>
        </is>
      </c>
      <c r="E16" s="6" t="n">
        <v>25</v>
      </c>
      <c r="F16" s="6">
        <f>IF(A16="","",A16*E16)</f>
        <v/>
      </c>
      <c r="G16" t="inlineStr">
        <is>
          <t>HVAC tools</t>
        </is>
      </c>
    </row>
    <row r="17">
      <c r="A17" t="n">
        <v>0</v>
      </c>
      <c r="B17" t="inlineStr">
        <is>
          <t>Brazing tip / consumables kit</t>
        </is>
      </c>
      <c r="E17" s="6" t="n">
        <v>35</v>
      </c>
      <c r="F17" s="6">
        <f>IF(A17="","",A17*E17)</f>
        <v/>
      </c>
      <c r="G17" t="inlineStr">
        <is>
          <t>HVAC tools</t>
        </is>
      </c>
    </row>
    <row r="18">
      <c r="A18" t="n">
        <v>0</v>
      </c>
      <c r="B18" t="inlineStr">
        <is>
          <t>A2L-compatible gauge hose set (shop stock)</t>
        </is>
      </c>
      <c r="E18" s="6" t="n">
        <v>150</v>
      </c>
      <c r="F18" s="6">
        <f>IF(A18="","",A18*E18)</f>
        <v/>
      </c>
      <c r="G18" t="inlineStr">
        <is>
          <t>A2L tools</t>
        </is>
      </c>
    </row>
    <row r="19">
      <c r="A19" t="n">
        <v>0</v>
      </c>
      <c r="B19" t="inlineStr">
        <is>
          <t>Leak-detect fluid bottle</t>
        </is>
      </c>
      <c r="E19" s="6" t="n">
        <v>12</v>
      </c>
      <c r="F19" s="6">
        <f>IF(A19="","",A19*E19)</f>
        <v/>
      </c>
      <c r="G19" t="inlineStr">
        <is>
          <t>HVAC tools</t>
        </is>
      </c>
    </row>
    <row r="20">
      <c r="A20" t="n">
        <v>0</v>
      </c>
      <c r="B20" t="inlineStr">
        <is>
          <t>Flaring tool consumables</t>
        </is>
      </c>
      <c r="E20" s="6" t="n">
        <v>20</v>
      </c>
      <c r="F20" s="6">
        <f>IF(A20="","",A20*E20)</f>
        <v/>
      </c>
      <c r="G20" t="inlineStr">
        <is>
          <t>HVAC tools</t>
        </is>
      </c>
    </row>
    <row r="21">
      <c r="A21" t="n">
        <v>0</v>
      </c>
      <c r="B21" t="inlineStr">
        <is>
          <t>Tie wraps / fasteners pack</t>
        </is>
      </c>
      <c r="E21" s="6" t="n">
        <v>10</v>
      </c>
      <c r="F21" s="6">
        <f>IF(A21="","",A21*E21)</f>
        <v/>
      </c>
      <c r="G21" t="inlineStr">
        <is>
          <t>Consumables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6" customWidth="1" min="4" max="4"/>
    <col width="14" customWidth="1" min="5" max="5"/>
    <col width="22" customWidth="1" min="6" max="6"/>
    <col width="14" customWidth="1" min="7" max="7"/>
    <col width="16" customWidth="1" min="8" max="8"/>
  </cols>
  <sheetData>
    <row r="1">
      <c r="A1" s="1" t="inlineStr">
        <is>
          <t>Bruno AC Services LLC — SUMMARY (Method A)</t>
        </is>
      </c>
    </row>
    <row r="2">
      <c r="A2" s="3" t="inlineStr">
        <is>
          <t>Overhead Absorption Rate:</t>
        </is>
      </c>
      <c r="E2" s="10" t="n">
        <v>0.25</v>
      </c>
      <c r="F2" t="inlineStr">
        <is>
          <t>OH (editable)</t>
        </is>
      </c>
    </row>
    <row r="4">
      <c r="A4" t="inlineStr">
        <is>
          <t>G&amp;A Expenses + Debt Service  → absorbed via OH rate above</t>
        </is>
      </c>
    </row>
    <row r="7">
      <c r="A7" s="3" t="inlineStr">
        <is>
          <t>Desired Profit Margin (of sales):</t>
        </is>
      </c>
      <c r="E7" s="10" t="n">
        <v>0.15</v>
      </c>
      <c r="F7" t="inlineStr">
        <is>
          <t>Profit (editable)</t>
        </is>
      </c>
    </row>
    <row r="9">
      <c r="A9" t="inlineStr">
        <is>
          <t>Divisor for Method A = (1 − profit)</t>
        </is>
      </c>
    </row>
    <row r="11">
      <c r="E11" s="19">
        <f>1-E7</f>
        <v/>
      </c>
      <c r="F11" t="inlineStr">
        <is>
          <t>)  → sales = cost × (1+OH) / (1−profit)</t>
        </is>
      </c>
    </row>
    <row r="12">
      <c r="A12" s="20" t="inlineStr">
        <is>
          <t>NOTE: Single margin layer — Materials!B3 must stay 0; OH/profit only via Summary E2/E7 (Method A: cost*(1+OH)/(1-profit)). T&amp;M does NOT use this sheet.</t>
        </is>
      </c>
    </row>
    <row r="14">
      <c r="A14" s="2" t="inlineStr">
        <is>
          <t>Bruno AC Services LLC</t>
        </is>
      </c>
    </row>
    <row r="15">
      <c r="F15" t="inlineStr">
        <is>
          <t>Job Number:</t>
        </is>
      </c>
      <c r="G15">
        <f>'Quote'!B6</f>
        <v/>
      </c>
    </row>
    <row r="16">
      <c r="F16" t="inlineStr">
        <is>
          <t>Customer:</t>
        </is>
      </c>
      <c r="G16">
        <f>'Quote'!B11</f>
        <v/>
      </c>
    </row>
    <row r="20">
      <c r="C20" s="3" t="inlineStr">
        <is>
          <t>Equip Cost:</t>
        </is>
      </c>
      <c r="D20" s="6">
        <f>LaborEquip!B15</f>
        <v/>
      </c>
      <c r="F20" t="inlineStr">
        <is>
          <t>with overhead &amp; profit</t>
        </is>
      </c>
      <c r="H20" s="6">
        <f>IF(OR($E$7&gt;=1,1-$E$7&lt;=0),D20,(D20*(1+$E$2))/(1-$E$7))</f>
        <v/>
      </c>
    </row>
    <row r="22">
      <c r="C22" s="3" t="inlineStr">
        <is>
          <t>Labor Cost:</t>
        </is>
      </c>
      <c r="D22" s="6">
        <f>LaborEquip!B2</f>
        <v/>
      </c>
      <c r="F22" t="inlineStr">
        <is>
          <t>with overhead &amp; profit</t>
        </is>
      </c>
      <c r="H22" s="6">
        <f>IF(OR($E$7&gt;=1,1-$E$7&lt;=0),D22,(D22*(1+$E$2))/(1-$E$7))</f>
        <v/>
      </c>
    </row>
    <row r="24">
      <c r="C24" s="3" t="inlineStr">
        <is>
          <t>Material Cost:</t>
        </is>
      </c>
      <c r="D24" s="6">
        <f>Materials!B2</f>
        <v/>
      </c>
      <c r="F24" t="inlineStr">
        <is>
          <t>with overhead &amp; profit</t>
        </is>
      </c>
      <c r="H24" s="6">
        <f>IF(OR($E$7&gt;=1,1-$E$7&lt;=0),D24,(D24*(1+$E$2))/(1-$E$7))</f>
        <v/>
      </c>
    </row>
    <row r="26">
      <c r="C26" s="3" t="inlineStr">
        <is>
          <t>SubContractor Cost:</t>
        </is>
      </c>
      <c r="D26" s="6">
        <f>LaborEquip!B23</f>
        <v/>
      </c>
      <c r="F26" t="inlineStr">
        <is>
          <t>with overhead &amp; profit</t>
        </is>
      </c>
      <c r="H26" s="6">
        <f>IF(OR($E$7&gt;=1,1-$E$7&lt;=0),D26,(D26*(1+$E$2))/(1-$E$7))</f>
        <v/>
      </c>
    </row>
    <row r="28">
      <c r="C28" s="21" t="inlineStr">
        <is>
          <t>Total Job Cost:</t>
        </is>
      </c>
      <c r="D28" s="9">
        <f>D20+D22+D24+D26</f>
        <v/>
      </c>
      <c r="G28" t="inlineStr">
        <is>
          <t>Sales Price (sum buckets)</t>
        </is>
      </c>
      <c r="H28" s="6">
        <f>SUM(H20:H26)</f>
        <v/>
      </c>
    </row>
    <row r="31">
      <c r="C31" t="inlineStr">
        <is>
          <t>Overhead Amount:</t>
        </is>
      </c>
      <c r="D31" s="6">
        <f>D28*E2</f>
        <v/>
      </c>
      <c r="G31">
        <f>E2</f>
        <v/>
      </c>
    </row>
    <row r="33">
      <c r="C33" t="inlineStr">
        <is>
          <t>Break Even Point:</t>
        </is>
      </c>
      <c r="D33" s="6">
        <f>D28+D31</f>
        <v/>
      </c>
    </row>
    <row r="35">
      <c r="C35" t="inlineStr">
        <is>
          <t>Profit Amount:</t>
        </is>
      </c>
      <c r="D35" s="6">
        <f>(D33/E11)-D33</f>
        <v/>
      </c>
      <c r="G35">
        <f>E7</f>
        <v/>
      </c>
    </row>
    <row r="39">
      <c r="C39" s="21" t="inlineStr">
        <is>
          <t>Final Sales Price (exact):</t>
        </is>
      </c>
      <c r="D39" s="9">
        <f>D33+D35</f>
        <v/>
      </c>
      <c r="E39" t="inlineStr">
        <is>
          <t>Also = H28 (bucket sum)</t>
        </is>
      </c>
    </row>
    <row r="40">
      <c r="C40" t="inlineStr">
        <is>
          <t>Approved Change Orders:</t>
        </is>
      </c>
      <c r="D40" s="6">
        <f>ChangeOrders!B2</f>
        <v/>
      </c>
    </row>
    <row r="41">
      <c r="C41" s="2" t="inlineStr">
        <is>
          <t>Client Grand Total (ROUND sales + COs):</t>
        </is>
      </c>
      <c r="D41" s="22">
        <f>D42+D40</f>
        <v/>
      </c>
    </row>
    <row r="42">
      <c r="C42" t="inlineStr">
        <is>
          <t>Base Quote ROUND(sales):</t>
        </is>
      </c>
      <c r="D42" s="6">
        <f>ROUND(D39,0)</f>
        <v/>
      </c>
    </row>
    <row r="44">
      <c r="A44" t="inlineStr">
        <is>
          <t>Demo target (PWA seed): Material 6028 | Equip 600 | Labor 2712 | Cost 9340 | Sales 13735.294… | ROUND 13735</t>
        </is>
      </c>
    </row>
    <row r="45">
      <c r="A45" t="inlineStr">
        <is>
          <t>Quote! mirrors D41 as QUOTE TOTAL. T&amp;M sheet is independent (no OH&amp;P).</t>
        </is>
      </c>
    </row>
    <row r="46">
      <c r="A46" t="inlineStr">
        <is>
          <t>© 2026 Bruno AC Services LLC</t>
        </is>
      </c>
    </row>
  </sheetData>
  <mergeCells count="1">
    <mergeCell ref="A12:H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WORKERS — Burden (quote path) &amp; Pay calculator (informational only)</t>
        </is>
      </c>
    </row>
    <row r="2">
      <c r="A2" s="20" t="inlineStr">
        <is>
          <t>CRITICAL: Labor &amp; Equip and Summary use BURDEN rates only. Changing Pay Rate / Tax Rate must NOT change Quote Total.</t>
        </is>
      </c>
    </row>
    <row r="4">
      <c r="A4" s="2" t="inlineStr">
        <is>
          <t>BURDEN TABLE (feeds LaborEquip)</t>
        </is>
      </c>
    </row>
    <row r="11">
      <c r="A11" s="11" t="inlineStr">
        <is>
          <t>Type</t>
        </is>
      </c>
      <c r="B11" s="11" t="inlineStr">
        <is>
          <t>Role label</t>
        </is>
      </c>
      <c r="C11" s="11" t="inlineStr">
        <is>
          <t>Straight $/hr</t>
        </is>
      </c>
      <c r="D11" s="11" t="inlineStr">
        <is>
          <t>OT mult</t>
        </is>
      </c>
      <c r="E11" s="11" t="inlineStr">
        <is>
          <t>DT mult</t>
        </is>
      </c>
      <c r="F11" s="11" t="inlineStr">
        <is>
          <t>OT $/hr</t>
        </is>
      </c>
      <c r="G11" s="11" t="inlineStr">
        <is>
          <t>DT $/hr</t>
        </is>
      </c>
    </row>
    <row r="12">
      <c r="A12" t="inlineStr">
        <is>
          <t>Lead tech</t>
        </is>
      </c>
      <c r="B12" t="inlineStr">
        <is>
          <t>Lead tech</t>
        </is>
      </c>
      <c r="C12" s="9" t="n">
        <v>65</v>
      </c>
      <c r="D12" t="n">
        <v>1.5</v>
      </c>
      <c r="E12" t="n">
        <v>2</v>
      </c>
      <c r="F12" s="6">
        <f>C12*D12</f>
        <v/>
      </c>
      <c r="G12" s="6">
        <f>C12*E12</f>
        <v/>
      </c>
    </row>
    <row r="13">
      <c r="A13" t="inlineStr">
        <is>
          <t>Installer</t>
        </is>
      </c>
      <c r="B13" t="inlineStr">
        <is>
          <t>Installer</t>
        </is>
      </c>
      <c r="C13" s="9" t="n">
        <v>52</v>
      </c>
      <c r="D13" t="n">
        <v>1.5</v>
      </c>
      <c r="E13" t="n">
        <v>2</v>
      </c>
      <c r="F13" s="6">
        <f>C13*D13</f>
        <v/>
      </c>
      <c r="G13" s="6">
        <f>C13*E13</f>
        <v/>
      </c>
    </row>
    <row r="14">
      <c r="A14" t="inlineStr">
        <is>
          <t>Helper</t>
        </is>
      </c>
      <c r="B14" t="inlineStr">
        <is>
          <t>Helper</t>
        </is>
      </c>
      <c r="C14" s="9" t="n">
        <v>35</v>
      </c>
      <c r="D14" t="n">
        <v>1.5</v>
      </c>
      <c r="E14" t="n">
        <v>2</v>
      </c>
      <c r="F14" s="6">
        <f>C14*D14</f>
        <v/>
      </c>
      <c r="G14" s="6">
        <f>C14*E14</f>
        <v/>
      </c>
    </row>
    <row r="15">
      <c r="A15" t="inlineStr">
        <is>
          <t>Sheet-metal</t>
        </is>
      </c>
      <c r="B15" t="inlineStr">
        <is>
          <t>Sheet-metal</t>
        </is>
      </c>
      <c r="C15" s="9" t="n">
        <v>55</v>
      </c>
      <c r="D15" t="n">
        <v>1.5</v>
      </c>
      <c r="E15" t="n">
        <v>2</v>
      </c>
      <c r="F15" s="6">
        <f>C15*D15</f>
        <v/>
      </c>
      <c r="G15" s="6">
        <f>C15*E15</f>
        <v/>
      </c>
    </row>
    <row r="16">
      <c r="A16" t="inlineStr">
        <is>
          <t>Start-up</t>
        </is>
      </c>
      <c r="B16" t="inlineStr">
        <is>
          <t>Start-up</t>
        </is>
      </c>
      <c r="C16" s="9" t="n">
        <v>70</v>
      </c>
      <c r="D16" t="n">
        <v>1.5</v>
      </c>
      <c r="E16" t="n">
        <v>2</v>
      </c>
      <c r="F16" s="6">
        <f>C16*D16</f>
        <v/>
      </c>
      <c r="G16" s="6">
        <f>C16*E16</f>
        <v/>
      </c>
    </row>
    <row r="19">
      <c r="A19" s="2" t="inlineStr">
        <is>
          <t>PAY CALCULATOR (informational — does not feed Quote)</t>
        </is>
      </c>
    </row>
    <row r="20">
      <c r="A20" s="11" t="inlineStr">
        <is>
          <t>Name</t>
        </is>
      </c>
      <c r="B20" s="11" t="inlineStr">
        <is>
          <t>Role</t>
        </is>
      </c>
      <c r="C20" s="11" t="inlineStr">
        <is>
          <t>Pay Rate $/hr</t>
        </is>
      </c>
      <c r="D20" s="11" t="inlineStr">
        <is>
          <t>Tax Rate %</t>
        </is>
      </c>
      <c r="E20" s="11" t="inlineStr">
        <is>
          <t>Net $/hr</t>
        </is>
      </c>
      <c r="F20" s="11" t="inlineStr">
        <is>
          <t>Day (8h)</t>
        </is>
      </c>
      <c r="G20" s="11" t="inlineStr">
        <is>
          <t>Week (40h)</t>
        </is>
      </c>
    </row>
    <row r="21">
      <c r="A21" t="inlineStr">
        <is>
          <t>Lead Tech</t>
        </is>
      </c>
      <c r="B21" t="inlineStr">
        <is>
          <t>Lead tech</t>
        </is>
      </c>
      <c r="C21" s="6" t="n">
        <v>32</v>
      </c>
      <c r="D21" s="23" t="n">
        <v>0</v>
      </c>
      <c r="E21" s="6">
        <f>C21*(1-D21/100)</f>
        <v/>
      </c>
      <c r="F21" s="6">
        <f>E21*8</f>
        <v/>
      </c>
      <c r="G21" s="6">
        <f>E21*40</f>
        <v/>
      </c>
    </row>
    <row r="22">
      <c r="A22" t="inlineStr">
        <is>
          <t>Installer</t>
        </is>
      </c>
      <c r="B22" t="inlineStr">
        <is>
          <t>Installer</t>
        </is>
      </c>
      <c r="C22" s="6" t="n">
        <v>28</v>
      </c>
      <c r="D22" s="23" t="n">
        <v>0</v>
      </c>
      <c r="E22" s="6">
        <f>C22*(1-D22/100)</f>
        <v/>
      </c>
      <c r="F22" s="6">
        <f>E22*8</f>
        <v/>
      </c>
      <c r="G22" s="6">
        <f>E22*40</f>
        <v/>
      </c>
    </row>
    <row r="23">
      <c r="A23" t="inlineStr">
        <is>
          <t>Helper</t>
        </is>
      </c>
      <c r="B23" t="inlineStr">
        <is>
          <t>Helper</t>
        </is>
      </c>
      <c r="C23" s="6" t="n">
        <v>18</v>
      </c>
      <c r="D23" s="23" t="n">
        <v>0</v>
      </c>
      <c r="E23" s="6">
        <f>C23*(1-D23/100)</f>
        <v/>
      </c>
      <c r="F23" s="6">
        <f>E23*8</f>
        <v/>
      </c>
      <c r="G23" s="6">
        <f>E23*40</f>
        <v/>
      </c>
    </row>
    <row r="24">
      <c r="A24" t="inlineStr">
        <is>
          <t>Sheet-metal</t>
        </is>
      </c>
      <c r="B24" t="inlineStr">
        <is>
          <t>Sheet-metal</t>
        </is>
      </c>
      <c r="C24" s="6" t="n">
        <v>30</v>
      </c>
      <c r="D24" s="23" t="n">
        <v>0</v>
      </c>
      <c r="E24" s="6">
        <f>C24*(1-D24/100)</f>
        <v/>
      </c>
      <c r="F24" s="6">
        <f>E24*8</f>
        <v/>
      </c>
      <c r="G24" s="6">
        <f>E24*40</f>
        <v/>
      </c>
    </row>
    <row r="25">
      <c r="A25" t="inlineStr">
        <is>
          <t>Start-up</t>
        </is>
      </c>
      <c r="B25" t="inlineStr">
        <is>
          <t>Start-up</t>
        </is>
      </c>
      <c r="C25" s="6" t="n">
        <v>34</v>
      </c>
      <c r="D25" s="23" t="n">
        <v>0</v>
      </c>
      <c r="E25" s="6">
        <f>C25*(1-D25/100)</f>
        <v/>
      </c>
      <c r="F25" s="6">
        <f>E25*8</f>
        <v/>
      </c>
      <c r="G25" s="6">
        <f>E25*40</f>
        <v/>
      </c>
    </row>
    <row r="28">
      <c r="A28" t="inlineStr">
        <is>
          <t>Tax stacking note (Dispatch / payroll estimate — not Method A)</t>
        </is>
      </c>
    </row>
    <row r="29">
      <c r="A29" t="inlineStr">
        <is>
          <t>Federal %</t>
        </is>
      </c>
      <c r="B29" t="n">
        <v>0</v>
      </c>
      <c r="C29" t="inlineStr">
        <is>
          <t>State %</t>
        </is>
      </c>
      <c r="D29" t="n">
        <v>0</v>
      </c>
      <c r="E29" t="inlineStr">
        <is>
          <t>Local %</t>
        </is>
      </c>
      <c r="F29" t="n">
        <v>0</v>
      </c>
    </row>
    <row r="30">
      <c r="A30" t="inlineStr">
        <is>
          <t>Effective stacked %</t>
        </is>
      </c>
      <c r="B30">
        <f>(1-(1-B29/100)*(1-D29/100)*(1-F29/100))*100</f>
        <v/>
      </c>
      <c r="C30" t="inlineStr">
        <is>
          <t>Compound stack (not sum). Example 10+5+2 → 16.21%. Informational — not Method A.</t>
        </is>
      </c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T&amp;M INVOICE — Time &amp; Material (NO Method A OH&amp;P)</t>
        </is>
      </c>
    </row>
    <row r="2">
      <c r="A2" s="20" t="inlineStr">
        <is>
          <t>Honesty rule: T&amp;M bills actual lines at agreed rates. Do NOT pull Summary sales as a fake T&amp;M total.</t>
        </is>
      </c>
    </row>
    <row r="4">
      <c r="A4" t="inlineStr">
        <is>
          <t>Date</t>
        </is>
      </c>
      <c r="B4" t="inlineStr">
        <is>
          <t>2026-09-11</t>
        </is>
      </c>
    </row>
    <row r="5">
      <c r="A5" t="inlineStr">
        <is>
          <t>Invoice #</t>
        </is>
      </c>
    </row>
    <row r="6">
      <c r="A6" t="inlineStr">
        <is>
          <t>Customer</t>
        </is>
      </c>
      <c r="B6" t="inlineStr">
        <is>
          <t>Sample Residence — AC Changeout</t>
        </is>
      </c>
    </row>
    <row r="7">
      <c r="A7" t="inlineStr">
        <is>
          <t>Job address</t>
        </is>
      </c>
      <c r="B7" t="inlineStr">
        <is>
          <t>123 Maple Creek Ln, Austin, TX 78745</t>
        </is>
      </c>
    </row>
    <row r="9">
      <c r="A9" s="2" t="inlineStr">
        <is>
          <t>EQUIPMENT / RENTAL LINES</t>
        </is>
      </c>
    </row>
    <row r="10">
      <c r="A10" s="11" t="inlineStr">
        <is>
          <t>Qty</t>
        </is>
      </c>
      <c r="B10" s="11" t="inlineStr">
        <is>
          <t>Description</t>
        </is>
      </c>
      <c r="C10" s="11" t="inlineStr">
        <is>
          <t>Unit</t>
        </is>
      </c>
      <c r="D10" s="11" t="inlineStr">
        <is>
          <t>Rate</t>
        </is>
      </c>
      <c r="E10" s="11" t="inlineStr">
        <is>
          <t>Extension</t>
        </is>
      </c>
    </row>
    <row r="11">
      <c r="E11" s="6">
        <f>IF(OR(A11="",D11=""),"",A11*D11)</f>
        <v/>
      </c>
    </row>
    <row r="12">
      <c r="E12" s="6">
        <f>IF(OR(A12="",D12=""),"",A12*D12)</f>
        <v/>
      </c>
    </row>
    <row r="13">
      <c r="E13" s="6">
        <f>IF(OR(A13="",D13=""),"",A13*D13)</f>
        <v/>
      </c>
    </row>
    <row r="14">
      <c r="E14" s="6">
        <f>IF(OR(A14="",D14=""),"",A14*D14)</f>
        <v/>
      </c>
    </row>
    <row r="15">
      <c r="E15" s="6">
        <f>IF(OR(A15="",D15=""),"",A15*D15)</f>
        <v/>
      </c>
    </row>
    <row r="16">
      <c r="A16" t="inlineStr">
        <is>
          <t>Equip subtotal</t>
        </is>
      </c>
      <c r="E16" s="6">
        <f>SUM(E11:E15)</f>
        <v/>
      </c>
    </row>
    <row r="18">
      <c r="A18" s="2" t="inlineStr">
        <is>
          <t>LABOR LINES</t>
        </is>
      </c>
    </row>
    <row r="19">
      <c r="A19" s="11" t="inlineStr">
        <is>
          <t>Hours</t>
        </is>
      </c>
      <c r="B19" s="11" t="inlineStr">
        <is>
          <t>Description</t>
        </is>
      </c>
      <c r="C19" s="11" t="inlineStr">
        <is>
          <t>Tech</t>
        </is>
      </c>
      <c r="D19" s="11" t="inlineStr">
        <is>
          <t>Rate</t>
        </is>
      </c>
      <c r="E19" s="11" t="inlineStr">
        <is>
          <t>Extension</t>
        </is>
      </c>
    </row>
    <row r="20">
      <c r="E20" s="6">
        <f>IF(OR(A20="",D20=""),"",A20*D20)</f>
        <v/>
      </c>
    </row>
    <row r="21">
      <c r="E21" s="6">
        <f>IF(OR(A21="",D21=""),"",A21*D21)</f>
        <v/>
      </c>
    </row>
    <row r="22">
      <c r="E22" s="6">
        <f>IF(OR(A22="",D22=""),"",A22*D22)</f>
        <v/>
      </c>
    </row>
    <row r="23">
      <c r="E23" s="6">
        <f>IF(OR(A23="",D23=""),"",A23*D23)</f>
        <v/>
      </c>
    </row>
    <row r="24">
      <c r="E24" s="6">
        <f>IF(OR(A24="",D24=""),"",A24*D24)</f>
        <v/>
      </c>
    </row>
    <row r="25">
      <c r="E25" s="6">
        <f>IF(OR(A25="",D25=""),"",A25*D25)</f>
        <v/>
      </c>
    </row>
    <row r="26">
      <c r="E26" s="6">
        <f>IF(OR(A26="",D26=""),"",A26*D26)</f>
        <v/>
      </c>
    </row>
    <row r="27">
      <c r="E27" s="6">
        <f>IF(OR(A27="",D27=""),"",A27*D27)</f>
        <v/>
      </c>
    </row>
    <row r="28">
      <c r="A28" t="inlineStr">
        <is>
          <t>Labor subtotal</t>
        </is>
      </c>
      <c r="E28" s="6">
        <f>SUM(E20:E27)</f>
        <v/>
      </c>
    </row>
    <row r="30">
      <c r="A30" s="2" t="inlineStr">
        <is>
          <t>MATERIALS (T&amp;M)</t>
        </is>
      </c>
    </row>
    <row r="31">
      <c r="A31" s="11" t="inlineStr">
        <is>
          <t>Qty</t>
        </is>
      </c>
      <c r="B31" s="11" t="inlineStr">
        <is>
          <t>Description</t>
        </is>
      </c>
      <c r="C31" s="11" t="inlineStr">
        <is>
          <t>Unit</t>
        </is>
      </c>
      <c r="D31" s="11" t="inlineStr">
        <is>
          <t>Cost</t>
        </is>
      </c>
      <c r="E31" s="11" t="inlineStr">
        <is>
          <t>Extension</t>
        </is>
      </c>
    </row>
    <row r="32">
      <c r="E32" s="6">
        <f>IF(OR(A32="",D32=""),"",A32*D32)</f>
        <v/>
      </c>
    </row>
    <row r="33">
      <c r="E33" s="6">
        <f>IF(OR(A33="",D33=""),"",A33*D33)</f>
        <v/>
      </c>
    </row>
    <row r="34">
      <c r="E34" s="6">
        <f>IF(OR(A34="",D34=""),"",A34*D34)</f>
        <v/>
      </c>
    </row>
    <row r="35">
      <c r="E35" s="6">
        <f>IF(OR(A35="",D35=""),"",A35*D35)</f>
        <v/>
      </c>
    </row>
    <row r="36">
      <c r="E36" s="6">
        <f>IF(OR(A36="",D36=""),"",A36*D36)</f>
        <v/>
      </c>
    </row>
    <row r="37">
      <c r="E37" s="6">
        <f>IF(OR(A37="",D37=""),"",A37*D37)</f>
        <v/>
      </c>
    </row>
    <row r="38">
      <c r="E38" s="6">
        <f>IF(OR(A38="",D38=""),"",A38*D38)</f>
        <v/>
      </c>
    </row>
    <row r="39">
      <c r="E39" s="6">
        <f>IF(OR(A39="",D39=""),"",A39*D39)</f>
        <v/>
      </c>
    </row>
    <row r="40">
      <c r="A40" t="inlineStr">
        <is>
          <t>Material subtotal</t>
        </is>
      </c>
      <c r="E40" s="6">
        <f>SUM(E32:E39)</f>
        <v/>
      </c>
    </row>
    <row r="42">
      <c r="A42" t="inlineStr">
        <is>
          <t>Subcontractor lump</t>
        </is>
      </c>
      <c r="E42" s="6" t="n">
        <v>0</v>
      </c>
    </row>
    <row r="43">
      <c r="A43" s="21" t="inlineStr">
        <is>
          <t>T&amp;M INVOICE TOTAL (no OH&amp;P)</t>
        </is>
      </c>
      <c r="E43" s="9">
        <f>E16+E28+E40+E42</f>
        <v/>
      </c>
    </row>
    <row r="45">
      <c r="A45" t="inlineStr">
        <is>
          <t>Letterhead: Bruno AC Services LLC | Print as Invoice. Taxes not included unless listed.</t>
        </is>
      </c>
    </row>
  </sheetData>
  <mergeCells count="1"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PROFIT &amp; LOSS — Quoted vs Billed vs Actual</t>
        </is>
      </c>
    </row>
    <row r="3">
      <c r="A3" s="2" t="inlineStr">
        <is>
          <t>QUOTED (from Summary Method A)</t>
        </is>
      </c>
    </row>
    <row r="4">
      <c r="A4" t="inlineStr">
        <is>
          <t>Quoted Sales (exact)</t>
        </is>
      </c>
      <c r="B4" s="6">
        <f>Summary!D39</f>
        <v/>
      </c>
    </row>
    <row r="5">
      <c r="A5" t="inlineStr">
        <is>
          <t>Quoted / Base ROUND</t>
        </is>
      </c>
      <c r="B5" s="6">
        <f>Summary!D42</f>
        <v/>
      </c>
    </row>
    <row r="6">
      <c r="A6" t="inlineStr">
        <is>
          <t>Quote Total (+ COs)</t>
        </is>
      </c>
      <c r="B6" s="6">
        <f>Summary!D41</f>
        <v/>
      </c>
    </row>
    <row r="7">
      <c r="A7" t="inlineStr">
        <is>
          <t>Quoted Job Cost</t>
        </is>
      </c>
      <c r="B7" s="6">
        <f>Summary!D28</f>
        <v/>
      </c>
    </row>
    <row r="8">
      <c r="A8" t="inlineStr">
        <is>
          <t>Quoted Gross (Sales − Cost)</t>
        </is>
      </c>
      <c r="B8" s="6">
        <f>B4-B7</f>
        <v/>
      </c>
    </row>
    <row r="10">
      <c r="A10" s="2" t="inlineStr">
        <is>
          <t>BILLED (from T&amp;M)</t>
        </is>
      </c>
    </row>
    <row r="11">
      <c r="A11" t="inlineStr">
        <is>
          <t>T&amp;M Billed Total</t>
        </is>
      </c>
      <c r="B11" s="6">
        <f>TM!E43</f>
        <v/>
      </c>
      <c r="C11" t="inlineStr">
        <is>
          <t>Override billed (optional)</t>
        </is>
      </c>
      <c r="D11" s="6" t="n"/>
    </row>
    <row r="12">
      <c r="A12" t="inlineStr">
        <is>
          <t>Billed used</t>
        </is>
      </c>
      <c r="B12" s="6">
        <f>IF(D11="",B11,D11)</f>
        <v/>
      </c>
    </row>
    <row r="14">
      <c r="A14" s="2" t="inlineStr">
        <is>
          <t>ACTUAL COSTS (overrides — empty Actual Material defaults to Material Cost)</t>
        </is>
      </c>
    </row>
    <row r="15">
      <c r="A15" t="inlineStr">
        <is>
          <t>Actual Labor</t>
        </is>
      </c>
      <c r="B15" s="6" t="n">
        <v>0</v>
      </c>
    </row>
    <row r="16">
      <c r="A16" t="inlineStr">
        <is>
          <t>Actual Equip</t>
        </is>
      </c>
      <c r="B16" s="6" t="n">
        <v>0</v>
      </c>
    </row>
    <row r="17">
      <c r="A17" t="inlineStr">
        <is>
          <t>Actual Material (blank → use quoted mat)</t>
        </is>
      </c>
      <c r="B17" s="6" t="n"/>
      <c r="C17" s="6">
        <f>IF(B17="",Summary!D24,B17)</f>
        <v/>
      </c>
    </row>
    <row r="18">
      <c r="A18" t="inlineStr">
        <is>
          <t>Actual Sub</t>
        </is>
      </c>
      <c r="B18" s="6" t="n">
        <v>0</v>
      </c>
    </row>
    <row r="19">
      <c r="A19" t="inlineStr">
        <is>
          <t>Actual Other</t>
        </is>
      </c>
      <c r="B19" s="6" t="n">
        <v>0</v>
      </c>
    </row>
    <row r="20">
      <c r="A20" t="inlineStr">
        <is>
          <t>Actual Cost Total</t>
        </is>
      </c>
      <c r="B20" s="6">
        <f>B15+B16+C17+B18+B19</f>
        <v/>
      </c>
    </row>
    <row r="21">
      <c r="A21" s="20" t="inlineStr">
        <is>
          <t>Note: If Actual Labor/Equip left at 0, margin looks artificially high — enter actuals for real P&amp;L.</t>
        </is>
      </c>
    </row>
    <row r="23">
      <c r="A23" s="2" t="inlineStr">
        <is>
          <t>VARIANCE</t>
        </is>
      </c>
    </row>
    <row r="24">
      <c r="A24" t="inlineStr">
        <is>
          <t>Quoted vs Billed</t>
        </is>
      </c>
      <c r="B24" s="6">
        <f>B12-B6</f>
        <v/>
      </c>
    </row>
    <row r="25">
      <c r="A25" t="inlineStr">
        <is>
          <t>Billed − Actual Cost</t>
        </is>
      </c>
      <c r="B25" s="6">
        <f>B12-B20</f>
        <v/>
      </c>
    </row>
    <row r="26">
      <c r="A26" t="inlineStr">
        <is>
          <t>Quoted Sales − Actual Cost</t>
        </is>
      </c>
      <c r="B26" s="6">
        <f>B4-B20</f>
        <v/>
      </c>
    </row>
  </sheetData>
  <mergeCells count="1">
    <mergeCell ref="A21:E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CHANGE ORDERS</t>
        </is>
      </c>
    </row>
    <row r="2">
      <c r="A2" s="3" t="inlineStr">
        <is>
          <t>Approved COs TOTAL (only status=Approved)</t>
        </is>
      </c>
      <c r="B2" s="9">
        <f>SUMIF(E12:E100,"Approved",D12:D100)</f>
        <v/>
      </c>
      <c r="C2" t="inlineStr">
        <is>
          <t>← feeds Summary!D40 — draft/submitted/rejected/void excluded</t>
        </is>
      </c>
    </row>
    <row r="3">
      <c r="A3" t="inlineStr">
        <is>
          <t>CO amounts are dollar adds to Quote Total (not re-run through Method A unless shop policy changes).</t>
        </is>
      </c>
    </row>
    <row r="11">
      <c r="A11" s="11" t="inlineStr">
        <is>
          <t>CO #</t>
        </is>
      </c>
      <c r="B11" s="11" t="inlineStr">
        <is>
          <t>Date</t>
        </is>
      </c>
      <c r="C11" s="11" t="inlineStr">
        <is>
          <t>Description</t>
        </is>
      </c>
      <c r="D11" s="11" t="inlineStr">
        <is>
          <t>Amount</t>
        </is>
      </c>
      <c r="E11" s="11" t="inlineStr">
        <is>
          <t>Status</t>
        </is>
      </c>
      <c r="F11" s="11" t="inlineStr">
        <is>
          <t>Notes</t>
        </is>
      </c>
    </row>
    <row r="12">
      <c r="A12" t="inlineStr">
        <is>
          <t>CO-001</t>
        </is>
      </c>
      <c r="B12" t="inlineStr">
        <is>
          <t>2026-09-11</t>
        </is>
      </c>
      <c r="C12" t="inlineStr">
        <is>
          <t>Optional UV IAQ add (demo draft — not in Quote Total)</t>
        </is>
      </c>
      <c r="D12" s="6" t="n">
        <v>350</v>
      </c>
      <c r="E12" t="inlineStr">
        <is>
          <t>Draft</t>
        </is>
      </c>
      <c r="F12" t="inlineStr">
        <is>
          <t>Status must be Approved to affect Quote Total</t>
        </is>
      </c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>
      <c r="D21" s="6" t="n"/>
    </row>
    <row r="22">
      <c r="D22" s="6" t="n"/>
    </row>
    <row r="23">
      <c r="D23" s="6" t="n"/>
    </row>
    <row r="24">
      <c r="D24" s="6" t="n"/>
    </row>
    <row r="25">
      <c r="D25" s="6" t="n"/>
    </row>
    <row r="26">
      <c r="D26" s="6" t="n"/>
    </row>
    <row r="27">
      <c r="D27" s="6" t="n"/>
    </row>
    <row r="28">
      <c r="D28" s="6" t="n"/>
    </row>
    <row r="29">
      <c r="D29" s="6" t="n"/>
    </row>
    <row r="32">
      <c r="A32" t="inlineStr">
        <is>
          <t>Allowed statuses: Draft | Submitted | Approved | Rejected | Void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28" customWidth="1" min="3" max="3"/>
  </cols>
  <sheetData>
    <row r="1">
      <c r="A1" s="1" t="inlineStr">
        <is>
          <t>REFERENCE — Informational only (does NOT rewrite labor, qty, OH%, or Method A)</t>
        </is>
      </c>
    </row>
    <row r="2">
      <c r="A2" s="20" t="inlineStr">
        <is>
          <t>No NEC ampacity / conduit fill / motor FLA tables. HVAC codes &amp; efficiency notes for Texas estimators.</t>
        </is>
      </c>
    </row>
    <row r="4">
      <c r="A4" s="11" t="inlineStr">
        <is>
          <t>SECTION</t>
        </is>
      </c>
      <c r="B4" s="11" t="inlineStr">
        <is>
          <t>CONTENT</t>
        </is>
      </c>
      <c r="C4" s="11" t="inlineStr">
        <is>
          <t>SOURCE / NOTE</t>
        </is>
      </c>
    </row>
    <row r="5" ht="60" customHeight="1">
      <c r="A5" s="14" t="inlineStr">
        <is>
          <t>SECO Energy (statewide)</t>
        </is>
      </c>
      <c r="B5" s="24" t="inlineStr">
        <is>
          <t>Statewide commercial baseline remains 2015 IECC (34 TAC §19.53). Single-family statewide baseline 2015 IRC Chapter 11. 2021/2024 IECC NOT verified as statewide for 2026 — cities often stricter (check AHJ).</t>
        </is>
      </c>
      <c r="C5" s="14" t="inlineStr">
        <is>
          <t>SECO / Comptroller</t>
        </is>
      </c>
    </row>
    <row r="6" ht="60" customHeight="1">
      <c r="A6" s="14" t="inlineStr">
        <is>
          <t>TDLR ACR codes</t>
        </is>
      </c>
      <c r="B6" s="24" t="inlineStr">
        <is>
          <t>Effective Sept 1, 2026: TDLR adopts 2024 IRC, 2024 IMC, 2024 IFGC, 2024 UMC (16 TAC §75.110). 2021 editions through Aug 31, 2026; work permitted/started before 2026-09-01 may finish under 2021. ASHRAE 15/34 refs update 2022→2024.</t>
        </is>
      </c>
      <c r="C6" s="14" t="inlineStr">
        <is>
          <t>Texas Register / TDLR</t>
        </is>
      </c>
    </row>
    <row r="7" ht="60" customHeight="1">
      <c r="A7" s="14" t="inlineStr">
        <is>
          <t>SEER2 — Southeast (TX)</t>
        </is>
      </c>
      <c r="B7" s="24" t="inlineStr">
        <is>
          <t>Split AC &lt;45 kBtu/h: 14.3 SEER2 regional install floor. Split AC ≥45 kBtu/h: 13.8 SEER2. Split HP: 14.3 SEER2 / 7.5 HSPF2 national. Package metrics differ — see 10 CFR §430.32(c). Record OEM/AHRI ratings; do not auto-fail quotes in software.</t>
        </is>
      </c>
      <c r="C7" s="14" t="inlineStr">
        <is>
          <t>DOE / eCFR</t>
        </is>
      </c>
    </row>
    <row r="8" ht="60" customHeight="1">
      <c r="A8" s="14" t="inlineStr">
        <is>
          <t>ENERGY STAR CAC</t>
        </is>
      </c>
      <c r="B8" s="24" t="inlineStr">
        <is>
          <t>ENERGY STAR Central Air Conditioner (CAC) product category sunset — verify current ENERGY STAR HVAC categories/specs before claiming rebate eligibility. Prefer manufacturer published SEER2/HSPF2.</t>
        </is>
      </c>
      <c r="C8" s="14" t="inlineStr">
        <is>
          <t>ENERGY STAR program notes</t>
        </is>
      </c>
    </row>
    <row r="9" ht="60" customHeight="1">
      <c r="A9" s="14" t="inlineStr">
        <is>
          <t>Refrigerants / AIM Act</t>
        </is>
      </c>
      <c r="B9" s="24" t="inlineStr">
        <is>
          <t>New residential/light-commercial AC&amp;HP: GWP ≤700 path; common A2L refrigerants R-454B and R-32 for new installs. R-410A remains relevant for SERVICE / legacy inventory. EPA May 2026 action described inventory install flexibility for pre-2025 components — confirm current EPA text. EPA Section 608 certification required for handling.</t>
        </is>
      </c>
      <c r="C9" s="14" t="inlineStr">
        <is>
          <t>EPA Technology Transitions</t>
        </is>
      </c>
    </row>
    <row r="10" ht="60" customHeight="1">
      <c r="A10" s="14" t="inlineStr">
        <is>
          <t>A2L extras</t>
        </is>
      </c>
      <c r="B10" s="24" t="inlineStr">
        <is>
          <t>Mildly flammable (A2L): use compatible gauges/recovery, leak-detection where required by OEM/code, trained techs. Catalog lines are stubs — follow OEM install instructions.</t>
        </is>
      </c>
      <c r="C10" s="14" t="inlineStr">
        <is>
          <t>OEM / ASHRAE 15</t>
        </is>
      </c>
    </row>
    <row r="11" ht="60" customHeight="1">
      <c r="A11" s="14" t="inlineStr">
        <is>
          <t>Rough sizing disclaimer</t>
        </is>
      </c>
      <c r="B11" s="24" t="inlineStr">
        <is>
          <t>Rules of thumb (tons ≈ sq ft / X) are ROUGH ONLY. Manual J (load), Manual S (equipment), Manual D (duct) required for proper design. This workbook never auto-applies sizing to qty or price.</t>
        </is>
      </c>
      <c r="C11" s="14" t="inlineStr">
        <is>
          <t>ACC A / industry practice</t>
        </is>
      </c>
    </row>
    <row r="12" ht="60" customHeight="1">
      <c r="A12" s="14" t="inlineStr">
        <is>
          <t>Install checklist (text)</t>
        </is>
      </c>
      <c r="B12" s="24" t="inlineStr">
        <is>
          <t>Recover old refrigerant (608) → set pad/level → place outdoor → set indoor/AHU → line set / braze or OEM joints → pressure test / nitrogen → evacuate to micron target per OEM → open valves / charge per OEM → condensate trap/float/secondary pan → thermostat → start-up / airflow check → customer walkthrough.</t>
        </is>
      </c>
      <c r="C12" s="14" t="inlineStr">
        <is>
          <t>Shop process</t>
        </is>
      </c>
    </row>
    <row r="13" ht="60" customHeight="1">
      <c r="A13" s="14" t="inlineStr">
        <is>
          <t>Clearances / airflow</t>
        </is>
      </c>
      <c r="B13" s="24" t="inlineStr">
        <is>
          <t>Outdoor clearances, indoor return/supply, and filter access per manufacturer &amp; code. Verify on site — do not invent IMC section numbers in this sheet.</t>
        </is>
      </c>
      <c r="C13" s="14" t="inlineStr">
        <is>
          <t>OEM / AHJ</t>
        </is>
      </c>
    </row>
    <row r="14" ht="60" customHeight="1">
      <c r="A14" s="14" t="inlineStr">
        <is>
          <t>Electrical coordination</t>
        </is>
      </c>
      <c r="B14" s="24" t="inlineStr">
        <is>
          <t>Disconnects/whips are catalog support lines only. TDLR electrician rules adopted 2026 NEC (eff. Sept 1, 2026) with modified outdoor HVAC GFCI exception — coordinate with electrical trade; do not auto-pick breakers here.</t>
        </is>
      </c>
      <c r="C14" s="14" t="inlineStr">
        <is>
          <t>TDLR Ch.73 note</t>
        </is>
      </c>
    </row>
    <row r="15" ht="60" customHeight="1">
      <c r="A15" s="14" t="inlineStr">
        <is>
          <t>Job settings note</t>
        </is>
      </c>
      <c r="B15" s="24" t="inlineStr">
        <is>
          <t>Default jurisdiction: Texas / Austin area. Code note on Quote/Cover is informational print text — changing it must not rewrite Method A.</t>
        </is>
      </c>
      <c r="C15" s="14" t="inlineStr">
        <is>
          <t>App policy</t>
        </is>
      </c>
    </row>
    <row r="17">
      <c r="A17" t="inlineStr">
        <is>
          <t>© 2026 Bruno AC Services LLC — Reference is not engineering, legal, or code compliance advice.</t>
        </is>
      </c>
    </row>
  </sheetData>
  <mergeCells count="1"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DISPATCH — Service call day journal (light)</t>
        </is>
      </c>
    </row>
    <row r="2">
      <c r="A2" t="inlineStr">
        <is>
          <t>Selected date</t>
        </is>
      </c>
      <c r="B2" t="inlineStr">
        <is>
          <t>2026-09-11</t>
        </is>
      </c>
    </row>
    <row r="3">
      <c r="A3" t="inlineStr">
        <is>
          <t>Tax effective % (from Workers)</t>
        </is>
      </c>
      <c r="B3">
        <f>Workers!B30</f>
        <v/>
      </c>
      <c r="C3" t="inlineStr">
        <is>
          <t>Informational payroll estimate — does not change Method A quote</t>
        </is>
      </c>
    </row>
    <row r="5">
      <c r="A5" s="11" t="inlineStr">
        <is>
          <t>Date</t>
        </is>
      </c>
      <c r="B5" s="11" t="inlineStr">
        <is>
          <t>Tech</t>
        </is>
      </c>
      <c r="C5" s="11" t="inlineStr">
        <is>
          <t>Customer / Call</t>
        </is>
      </c>
      <c r="D5" s="11" t="inlineStr">
        <is>
          <t>Hours</t>
        </is>
      </c>
      <c r="E5" s="11" t="inlineStr">
        <is>
          <t>Gross $</t>
        </is>
      </c>
      <c r="F5" s="11" t="inlineStr">
        <is>
          <t>Net $</t>
        </is>
      </c>
      <c r="G5" s="11" t="inlineStr">
        <is>
          <t>Status</t>
        </is>
      </c>
      <c r="H5" s="11" t="inlineStr">
        <is>
          <t>Type</t>
        </is>
      </c>
      <c r="I5" s="11" t="inlineStr">
        <is>
          <t>Notes</t>
        </is>
      </c>
    </row>
    <row r="6">
      <c r="E6" s="6" t="n"/>
      <c r="F6" s="6">
        <f>IF(E6="","",E6*(1-$B$3/100))</f>
        <v/>
      </c>
    </row>
    <row r="7">
      <c r="E7" s="6" t="n"/>
      <c r="F7" s="6">
        <f>IF(E7="","",E7*(1-$B$3/100))</f>
        <v/>
      </c>
    </row>
    <row r="8">
      <c r="E8" s="6" t="n"/>
      <c r="F8" s="6">
        <f>IF(E8="","",E8*(1-$B$3/100))</f>
        <v/>
      </c>
    </row>
    <row r="9">
      <c r="E9" s="6" t="n"/>
      <c r="F9" s="6">
        <f>IF(E9="","",E9*(1-$B$3/100))</f>
        <v/>
      </c>
    </row>
    <row r="10">
      <c r="E10" s="6" t="n"/>
      <c r="F10" s="6">
        <f>IF(E10="","",E10*(1-$B$3/100))</f>
        <v/>
      </c>
    </row>
    <row r="11">
      <c r="E11" s="6" t="n"/>
      <c r="F11" s="6">
        <f>IF(E11="","",E11*(1-$B$3/100))</f>
        <v/>
      </c>
    </row>
    <row r="12">
      <c r="E12" s="6" t="n"/>
      <c r="F12" s="6">
        <f>IF(E12="","",E12*(1-$B$3/100))</f>
        <v/>
      </c>
    </row>
    <row r="13">
      <c r="E13" s="6" t="n"/>
      <c r="F13" s="6">
        <f>IF(E13="","",E13*(1-$B$3/100))</f>
        <v/>
      </c>
    </row>
    <row r="14">
      <c r="E14" s="6" t="n"/>
      <c r="F14" s="6">
        <f>IF(E14="","",E14*(1-$B$3/100))</f>
        <v/>
      </c>
    </row>
    <row r="15">
      <c r="E15" s="6" t="n"/>
      <c r="F15" s="6">
        <f>IF(E15="","",E15*(1-$B$3/100))</f>
        <v/>
      </c>
    </row>
    <row r="16">
      <c r="E16" s="6" t="n"/>
      <c r="F16" s="6">
        <f>IF(E16="","",E16*(1-$B$3/100))</f>
        <v/>
      </c>
    </row>
    <row r="17">
      <c r="E17" s="6" t="n"/>
      <c r="F17" s="6">
        <f>IF(E17="","",E17*(1-$B$3/100))</f>
        <v/>
      </c>
    </row>
    <row r="18">
      <c r="E18" s="6" t="n"/>
      <c r="F18" s="6">
        <f>IF(E18="","",E18*(1-$B$3/100))</f>
        <v/>
      </c>
    </row>
    <row r="19">
      <c r="E19" s="6" t="n"/>
      <c r="F19" s="6">
        <f>IF(E19="","",E19*(1-$B$3/100))</f>
        <v/>
      </c>
    </row>
    <row r="20">
      <c r="E20" s="6" t="n"/>
      <c r="F20" s="6">
        <f>IF(E20="","",E20*(1-$B$3/100))</f>
        <v/>
      </c>
    </row>
    <row r="21">
      <c r="E21" s="6" t="n"/>
      <c r="F21" s="6">
        <f>IF(E21="","",E21*(1-$B$3/100))</f>
        <v/>
      </c>
    </row>
    <row r="22">
      <c r="E22" s="6" t="n"/>
      <c r="F22" s="6">
        <f>IF(E22="","",E22*(1-$B$3/100))</f>
        <v/>
      </c>
    </row>
    <row r="23">
      <c r="E23" s="6" t="n"/>
      <c r="F23" s="6">
        <f>IF(E23="","",E23*(1-$B$3/100))</f>
        <v/>
      </c>
    </row>
    <row r="24">
      <c r="E24" s="6" t="n"/>
      <c r="F24" s="6">
        <f>IF(E24="","",E24*(1-$B$3/100))</f>
        <v/>
      </c>
    </row>
    <row r="25">
      <c r="E25" s="6" t="n"/>
      <c r="F25" s="6">
        <f>IF(E25="","",E25*(1-$B$3/100))</f>
        <v/>
      </c>
    </row>
    <row r="28">
      <c r="A28" s="3" t="inlineStr">
        <is>
          <t>Day totals</t>
        </is>
      </c>
      <c r="D28">
        <f>SUM(D6:D25)</f>
        <v/>
      </c>
      <c r="E28" s="6">
        <f>SUM(E6:E25)</f>
        <v/>
      </c>
      <c r="F28" s="6">
        <f>SUM(F6:F25)</f>
        <v/>
      </c>
    </row>
    <row r="30">
      <c r="A30" t="inlineStr">
        <is>
          <t>Call types: Service | Maintenance | Warranty | Install support | Estimate</t>
        </is>
      </c>
    </row>
    <row r="31">
      <c r="A31" t="inlineStr">
        <is>
          <t>Statuses: Scheduled | En route | Complete | Callback |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2026-09-11T23:07:59Z</dcterms:created>
  <dcterms:modified xsi:type="dcterms:W3CDTF">2026-09-11T23:18:32Z</dcterms:modified>
</cp:coreProperties>
</file>